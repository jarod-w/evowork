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构清单" sheetId="1" state="visible" r:id="rId1"/>
    <sheet xmlns:r="http://schemas.openxmlformats.org/officeDocument/2006/relationships" name="存款" sheetId="2" state="visible" r:id="rId2"/>
    <sheet xmlns:r="http://schemas.openxmlformats.org/officeDocument/2006/relationships" name="贷款" sheetId="3" state="visible" r:id="rId3"/>
    <sheet xmlns:r="http://schemas.openxmlformats.org/officeDocument/2006/relationships" name="汇总" sheetId="4" state="visible" r:id="rId4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微软雅黑"/>
      <b val="1"/>
      <color rgb="001D1D1B"/>
    </font>
    <font>
      <name val="微软雅黑"/>
    </font>
  </fonts>
  <fills count="3">
    <fill>
      <patternFill/>
    </fill>
    <fill>
      <patternFill patternType="gray125"/>
    </fill>
    <fill>
      <patternFill patternType="solid">
        <fgColor rgb="00E9E8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机构代码</t>
        </is>
      </c>
      <c r="B1" s="1" t="inlineStr">
        <is>
          <t>机构名称</t>
        </is>
      </c>
      <c r="C1" s="1" t="inlineStr">
        <is>
          <t>区域</t>
        </is>
      </c>
    </row>
    <row r="2">
      <c r="A2" s="2" t="inlineStr">
        <is>
          <t>HY01</t>
        </is>
      </c>
      <c r="B2" s="2" t="inlineStr">
        <is>
          <t>海岳银行上海分行</t>
        </is>
      </c>
      <c r="C2" s="2" t="inlineStr">
        <is>
          <t>华东区</t>
        </is>
      </c>
    </row>
    <row r="3">
      <c r="A3" s="2" t="inlineStr">
        <is>
          <t>HY02</t>
        </is>
      </c>
      <c r="B3" s="2" t="inlineStr">
        <is>
          <t>海岳银行南京分行</t>
        </is>
      </c>
      <c r="C3" s="2" t="inlineStr">
        <is>
          <t>华东区</t>
        </is>
      </c>
    </row>
    <row r="4">
      <c r="A4" s="2" t="inlineStr">
        <is>
          <t>HY03</t>
        </is>
      </c>
      <c r="B4" s="2" t="inlineStr">
        <is>
          <t>海岳银行杭州分行</t>
        </is>
      </c>
      <c r="C4" s="2" t="inlineStr">
        <is>
          <t>华东区</t>
        </is>
      </c>
    </row>
    <row r="5">
      <c r="A5" s="2" t="inlineStr">
        <is>
          <t>HY04</t>
        </is>
      </c>
      <c r="B5" s="2" t="inlineStr">
        <is>
          <t>海岳银行苏州分行</t>
        </is>
      </c>
      <c r="C5" s="2" t="inlineStr">
        <is>
          <t>华东区</t>
        </is>
      </c>
    </row>
    <row r="6">
      <c r="A6" s="2" t="inlineStr">
        <is>
          <t>HY05</t>
        </is>
      </c>
      <c r="B6" s="2" t="inlineStr">
        <is>
          <t>海岳银行宁波分行</t>
        </is>
      </c>
      <c r="C6" s="2" t="inlineStr">
        <is>
          <t>华东区</t>
        </is>
      </c>
    </row>
    <row r="7">
      <c r="A7" s="2" t="inlineStr">
        <is>
          <t>HY06</t>
        </is>
      </c>
      <c r="B7" s="2" t="inlineStr">
        <is>
          <t>海岳银行合肥分行</t>
        </is>
      </c>
      <c r="C7" s="2" t="inlineStr">
        <is>
          <t>华东区</t>
        </is>
      </c>
    </row>
    <row r="8">
      <c r="A8" s="2" t="inlineStr">
        <is>
          <t>HY07</t>
        </is>
      </c>
      <c r="B8" s="2" t="inlineStr">
        <is>
          <t>海岳银行北京分行</t>
        </is>
      </c>
      <c r="C8" s="2" t="inlineStr">
        <is>
          <t>华北区</t>
        </is>
      </c>
    </row>
    <row r="9">
      <c r="A9" s="2" t="inlineStr">
        <is>
          <t>HY08</t>
        </is>
      </c>
      <c r="B9" s="2" t="inlineStr">
        <is>
          <t>海岳银行天津分行</t>
        </is>
      </c>
      <c r="C9" s="2" t="inlineStr">
        <is>
          <t>华北区</t>
        </is>
      </c>
    </row>
    <row r="10">
      <c r="A10" s="2" t="inlineStr">
        <is>
          <t>HY09</t>
        </is>
      </c>
      <c r="B10" s="2" t="inlineStr">
        <is>
          <t>海岳银行石家庄分行</t>
        </is>
      </c>
      <c r="C10" s="2" t="inlineStr">
        <is>
          <t>华北区</t>
        </is>
      </c>
    </row>
    <row r="11">
      <c r="A11" s="2" t="inlineStr">
        <is>
          <t>HY10</t>
        </is>
      </c>
      <c r="B11" s="2" t="inlineStr">
        <is>
          <t>海岳银行济南分行</t>
        </is>
      </c>
      <c r="C11" s="2" t="inlineStr">
        <is>
          <t>华北区</t>
        </is>
      </c>
    </row>
    <row r="12">
      <c r="A12" s="2" t="inlineStr">
        <is>
          <t>HY11</t>
        </is>
      </c>
      <c r="B12" s="2" t="inlineStr">
        <is>
          <t>海岳银行青岛分行</t>
        </is>
      </c>
      <c r="C12" s="2" t="inlineStr">
        <is>
          <t>华北区</t>
        </is>
      </c>
    </row>
    <row r="13">
      <c r="A13" s="2" t="inlineStr">
        <is>
          <t>HY12</t>
        </is>
      </c>
      <c r="B13" s="2" t="inlineStr">
        <is>
          <t>海岳银行郑州分行</t>
        </is>
      </c>
      <c r="C13" s="2" t="inlineStr">
        <is>
          <t>华北区</t>
        </is>
      </c>
    </row>
    <row r="14">
      <c r="A14" s="2" t="inlineStr">
        <is>
          <t>HY13</t>
        </is>
      </c>
      <c r="B14" s="2" t="inlineStr">
        <is>
          <t>海岳银行成都分行</t>
        </is>
      </c>
      <c r="C14" s="2" t="inlineStr">
        <is>
          <t>西南区</t>
        </is>
      </c>
    </row>
    <row r="15">
      <c r="A15" s="2" t="inlineStr">
        <is>
          <t>HY14</t>
        </is>
      </c>
      <c r="B15" s="2" t="inlineStr">
        <is>
          <t>海岳银行重庆分行</t>
        </is>
      </c>
      <c r="C15" s="2" t="inlineStr">
        <is>
          <t>西南区</t>
        </is>
      </c>
    </row>
    <row r="16">
      <c r="A16" s="2" t="inlineStr">
        <is>
          <t>HY15</t>
        </is>
      </c>
      <c r="B16" s="2" t="inlineStr">
        <is>
          <t>海岳银行昆明分行</t>
        </is>
      </c>
      <c r="C16" s="2" t="inlineStr">
        <is>
          <t>西南区</t>
        </is>
      </c>
    </row>
    <row r="17">
      <c r="A17" s="2" t="inlineStr">
        <is>
          <t>HY16</t>
        </is>
      </c>
      <c r="B17" s="2" t="inlineStr">
        <is>
          <t>海岳银行西安分行</t>
        </is>
      </c>
      <c r="C17" s="2" t="inlineStr">
        <is>
          <t>西南区</t>
        </is>
      </c>
    </row>
    <row r="18">
      <c r="A18" s="2" t="inlineStr">
        <is>
          <t>HY17</t>
        </is>
      </c>
      <c r="B18" s="2" t="inlineStr">
        <is>
          <t>海岳银行贵阳分行</t>
        </is>
      </c>
      <c r="C18" s="2" t="inlineStr">
        <is>
          <t>西南区</t>
        </is>
      </c>
    </row>
    <row r="19">
      <c r="A19" s="2" t="inlineStr">
        <is>
          <t>HY18</t>
        </is>
      </c>
      <c r="B19" s="2" t="inlineStr">
        <is>
          <t>海岳银行南宁分行</t>
        </is>
      </c>
      <c r="C19" s="2" t="inlineStr">
        <is>
          <t>西南区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机构代码</t>
        </is>
      </c>
      <c r="B1" s="1" t="inlineStr">
        <is>
          <t>年初余额（万元）</t>
        </is>
      </c>
      <c r="C1" s="1" t="inlineStr">
        <is>
          <t>年末余额（万元）</t>
        </is>
      </c>
      <c r="D1" s="1" t="inlineStr">
        <is>
          <t>增量（万元）</t>
        </is>
      </c>
    </row>
    <row r="2">
      <c r="A2" s="2" t="inlineStr">
        <is>
          <t>HY01</t>
        </is>
      </c>
      <c r="B2" s="3" t="n">
        <v>337000</v>
      </c>
      <c r="C2" s="3" t="n">
        <v>373500</v>
      </c>
      <c r="D2" s="3" t="n">
        <f>C2-B2</f>
        <v>36500.0</v>
      </c>
    </row>
    <row r="3">
      <c r="A3" s="2" t="inlineStr">
        <is>
          <t>HY02</t>
        </is>
      </c>
      <c r="B3" s="3" t="n">
        <v>412500</v>
      </c>
      <c r="C3" s="3" t="n">
        <v>457000</v>
      </c>
      <c r="D3" s="3" t="n">
        <f>C3-B3</f>
        <v>44500.0</v>
      </c>
    </row>
    <row r="4">
      <c r="A4" s="2" t="inlineStr">
        <is>
          <t>HY03</t>
        </is>
      </c>
      <c r="B4" s="3" t="n">
        <v>329000</v>
      </c>
      <c r="C4" s="3" t="n">
        <v>363500</v>
      </c>
      <c r="D4" s="3" t="n">
        <f>C4-B4</f>
        <v>34500.0</v>
      </c>
    </row>
    <row r="5">
      <c r="A5" s="2" t="inlineStr">
        <is>
          <t>HY04</t>
        </is>
      </c>
      <c r="B5" s="3" t="n">
        <v>189000</v>
      </c>
      <c r="C5" s="3" t="n">
        <v>183500</v>
      </c>
      <c r="D5" s="3" t="n">
        <f>C5-B5</f>
        <v>-5500.0</v>
      </c>
    </row>
    <row r="6">
      <c r="A6" s="2" t="inlineStr">
        <is>
          <t>HY05</t>
        </is>
      </c>
      <c r="B6" s="3" t="n">
        <v>440000</v>
      </c>
      <c r="C6" s="3" t="n">
        <v>437500</v>
      </c>
      <c r="D6" s="3" t="n">
        <f>C6-B6</f>
        <v>-2500.0</v>
      </c>
    </row>
    <row r="7">
      <c r="A7" s="2" t="inlineStr">
        <is>
          <t>HY06</t>
        </is>
      </c>
      <c r="B7" s="3" t="n">
        <v>162000</v>
      </c>
      <c r="C7" s="3" t="n">
        <v>211500</v>
      </c>
      <c r="D7" s="3" t="n">
        <f>C7-B7</f>
        <v>49500.0</v>
      </c>
    </row>
    <row r="8">
      <c r="A8" s="2" t="inlineStr">
        <is>
          <t>HY07</t>
        </is>
      </c>
      <c r="B8" s="3" t="n">
        <v>142000</v>
      </c>
      <c r="C8" s="3" t="n">
        <v>137500</v>
      </c>
      <c r="D8" s="3" t="n">
        <f>C8-B8</f>
        <v>-4500.0</v>
      </c>
    </row>
    <row r="9">
      <c r="A9" s="2" t="inlineStr">
        <is>
          <t>HY08</t>
        </is>
      </c>
      <c r="B9" s="3" t="n">
        <v>334000</v>
      </c>
      <c r="C9" s="3" t="n">
        <v>382000</v>
      </c>
      <c r="D9" s="3" t="n">
        <f>C9-B9</f>
        <v>48000.0</v>
      </c>
    </row>
    <row r="10">
      <c r="A10" s="2" t="inlineStr">
        <is>
          <t>HY09</t>
        </is>
      </c>
      <c r="B10" s="3" t="n">
        <v>130000</v>
      </c>
      <c r="C10" s="3" t="n">
        <v>159500</v>
      </c>
      <c r="D10" s="3" t="n">
        <f>C10-B10</f>
        <v>29500.0</v>
      </c>
    </row>
    <row r="11">
      <c r="A11" s="2" t="inlineStr">
        <is>
          <t>HY10</t>
        </is>
      </c>
      <c r="B11" s="3" t="n">
        <v>357000</v>
      </c>
      <c r="C11" s="3" t="n">
        <v>379500</v>
      </c>
      <c r="D11" s="3" t="n">
        <f>C11-B11</f>
        <v>22500.0</v>
      </c>
    </row>
    <row r="12">
      <c r="A12" s="2" t="inlineStr">
        <is>
          <t>HY11</t>
        </is>
      </c>
      <c r="B12" s="3" t="n">
        <v>359000</v>
      </c>
      <c r="C12" s="3" t="n">
        <v>405000</v>
      </c>
      <c r="D12" s="3" t="n">
        <f>C12-B12</f>
        <v>46000.0</v>
      </c>
    </row>
    <row r="13">
      <c r="A13" s="2" t="inlineStr">
        <is>
          <t>HY12</t>
        </is>
      </c>
      <c r="B13" s="3" t="n">
        <v>237000</v>
      </c>
      <c r="C13" s="3" t="n">
        <v>240000</v>
      </c>
      <c r="D13" s="3" t="n">
        <f>C13-B13</f>
        <v>3000.0</v>
      </c>
    </row>
    <row r="14">
      <c r="A14" s="2" t="inlineStr">
        <is>
          <t>HY13</t>
        </is>
      </c>
      <c r="B14" s="3" t="n">
        <v>456000</v>
      </c>
      <c r="C14" s="3" t="n">
        <v>484500</v>
      </c>
      <c r="D14" s="3" t="n">
        <f>C14-B14</f>
        <v>28500.0</v>
      </c>
    </row>
    <row r="15">
      <c r="A15" s="2" t="inlineStr">
        <is>
          <t>HY14</t>
        </is>
      </c>
      <c r="B15" s="3" t="n">
        <v>308000</v>
      </c>
      <c r="C15" s="3" t="n">
        <v>331500</v>
      </c>
      <c r="D15" s="3" t="n">
        <f>C15-B15</f>
        <v>23500.0</v>
      </c>
    </row>
    <row r="16">
      <c r="A16" s="2" t="inlineStr">
        <is>
          <t>HY15</t>
        </is>
      </c>
      <c r="B16" s="3" t="n">
        <v>470500</v>
      </c>
      <c r="C16" s="3" t="n">
        <v>463500</v>
      </c>
      <c r="D16" s="3" t="n">
        <f>C16-B16</f>
        <v>-7000.0</v>
      </c>
    </row>
    <row r="17">
      <c r="A17" s="2" t="inlineStr">
        <is>
          <t>HY16</t>
        </is>
      </c>
      <c r="B17" s="3" t="n">
        <v>314000</v>
      </c>
      <c r="C17" s="3" t="n">
        <v>309500</v>
      </c>
      <c r="D17" s="3" t="n">
        <f>C17-B17</f>
        <v>-4500.0</v>
      </c>
    </row>
    <row r="18">
      <c r="A18" s="2" t="inlineStr">
        <is>
          <t>HY17</t>
        </is>
      </c>
      <c r="B18" s="3" t="n">
        <v>300500</v>
      </c>
      <c r="C18" s="3" t="n">
        <v>338000</v>
      </c>
      <c r="D18" s="3" t="n">
        <f>C18-B18</f>
        <v>37500.0</v>
      </c>
    </row>
    <row r="19">
      <c r="A19" s="2" t="inlineStr">
        <is>
          <t>HY18</t>
        </is>
      </c>
      <c r="B19" s="3" t="n">
        <v>259000</v>
      </c>
      <c r="C19" s="3" t="n">
        <v>296500</v>
      </c>
      <c r="D19" s="3" t="n">
        <f>C19-B19</f>
        <v>37500.0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机构代码</t>
        </is>
      </c>
      <c r="B1" s="1" t="inlineStr">
        <is>
          <t>贷款余额（万元）</t>
        </is>
      </c>
      <c r="C1" s="1" t="inlineStr">
        <is>
          <t>不良贷款余额（万元）</t>
        </is>
      </c>
      <c r="D1" s="1" t="inlineStr">
        <is>
          <t>不良率</t>
        </is>
      </c>
    </row>
    <row r="2">
      <c r="A2" s="2" t="inlineStr">
        <is>
          <t>HY01</t>
        </is>
      </c>
      <c r="B2" s="3" t="n">
        <v>205000</v>
      </c>
      <c r="C2" s="3" t="n">
        <v>2028.71</v>
      </c>
      <c r="D2" s="4" t="n">
        <f>C2/B2</f>
        <v>0.009896146341463415</v>
      </c>
    </row>
    <row r="3">
      <c r="A3" s="2" t="inlineStr">
        <is>
          <t>HY02</t>
        </is>
      </c>
      <c r="B3" s="3" t="n">
        <v>126500</v>
      </c>
      <c r="C3" s="3" t="n">
        <v>3214.75</v>
      </c>
      <c r="D3" s="4" t="n">
        <f>C3/B3</f>
        <v>0.025413043478260868</v>
      </c>
    </row>
    <row r="4">
      <c r="A4" s="2" t="inlineStr">
        <is>
          <t>HY03</t>
        </is>
      </c>
      <c r="B4" s="3" t="n">
        <v>163500</v>
      </c>
      <c r="C4" s="3" t="n">
        <v>3950.91</v>
      </c>
      <c r="D4" s="4" t="n">
        <f>C4/B4</f>
        <v>0.024164587155963303</v>
      </c>
    </row>
    <row r="5">
      <c r="A5" s="2" t="inlineStr">
        <is>
          <t>HY04</t>
        </is>
      </c>
      <c r="B5" s="3" t="n">
        <v>263500</v>
      </c>
      <c r="C5" s="3" t="n">
        <v>4224.42</v>
      </c>
      <c r="D5" s="4" t="n">
        <f>C5/B5</f>
        <v>0.016031954459203038</v>
      </c>
    </row>
    <row r="6">
      <c r="A6" s="2" t="inlineStr">
        <is>
          <t>HY05</t>
        </is>
      </c>
      <c r="B6" s="3" t="n">
        <v>273000</v>
      </c>
      <c r="C6" s="3" t="n">
        <v>5341.68</v>
      </c>
      <c r="D6" s="4" t="n">
        <f>C6/B6</f>
        <v>0.01956659340659341</v>
      </c>
    </row>
    <row r="7">
      <c r="A7" s="2" t="inlineStr">
        <is>
          <t>HY06</t>
        </is>
      </c>
      <c r="B7" s="3" t="n">
        <v>387000</v>
      </c>
      <c r="C7" s="3" t="n">
        <v>10933.78</v>
      </c>
      <c r="D7" s="4" t="n">
        <f>C7/B7</f>
        <v>0.02825266149870801</v>
      </c>
    </row>
    <row r="8">
      <c r="A8" s="2" t="inlineStr">
        <is>
          <t>HY07</t>
        </is>
      </c>
      <c r="B8" s="3" t="n">
        <v>141000</v>
      </c>
      <c r="C8" s="3" t="n">
        <v>816.21</v>
      </c>
      <c r="D8" s="4" t="n">
        <f>C8/B8</f>
        <v>0.005788723404255319</v>
      </c>
    </row>
    <row r="9">
      <c r="A9" s="2" t="inlineStr">
        <is>
          <t>HY08</t>
        </is>
      </c>
      <c r="B9" s="3" t="n">
        <v>201500</v>
      </c>
      <c r="C9" s="3" t="n">
        <v>3490.35</v>
      </c>
      <c r="D9" s="4" t="n">
        <f>C9/B9</f>
        <v>0.01732183622828784</v>
      </c>
    </row>
    <row r="10">
      <c r="A10" s="2" t="inlineStr">
        <is>
          <t>HY09</t>
        </is>
      </c>
      <c r="B10" s="3" t="n">
        <v>206500</v>
      </c>
      <c r="C10" s="3" t="n">
        <v>3037.66</v>
      </c>
      <c r="D10" s="4" t="n">
        <f>C10/B10</f>
        <v>0.014710217917675544</v>
      </c>
    </row>
    <row r="11">
      <c r="A11" s="2" t="inlineStr">
        <is>
          <t>HY10</t>
        </is>
      </c>
      <c r="B11" s="3" t="n">
        <v>255500</v>
      </c>
      <c r="C11" s="3" t="n">
        <v>2716.77</v>
      </c>
      <c r="D11" s="4" t="n">
        <f>C11/B11</f>
        <v>0.010633150684931507</v>
      </c>
    </row>
    <row r="12">
      <c r="A12" s="2" t="inlineStr">
        <is>
          <t>HY11</t>
        </is>
      </c>
      <c r="B12" s="3" t="n">
        <v>116000</v>
      </c>
      <c r="C12" s="3" t="n">
        <v>1631.52</v>
      </c>
      <c r="D12" s="4" t="n">
        <f>C12/B12</f>
        <v>0.014064827586206896</v>
      </c>
    </row>
    <row r="13">
      <c r="A13" s="2" t="inlineStr">
        <is>
          <t>HY12</t>
        </is>
      </c>
      <c r="B13" s="3" t="n">
        <v>252000</v>
      </c>
      <c r="C13" s="3" t="n">
        <v>2297.34</v>
      </c>
      <c r="D13" s="4" t="n">
        <f>C13/B13</f>
        <v>0.009116428571428572</v>
      </c>
    </row>
    <row r="14">
      <c r="A14" s="2" t="inlineStr">
        <is>
          <t>HY13</t>
        </is>
      </c>
      <c r="B14" s="3" t="n">
        <v>352500</v>
      </c>
      <c r="C14" s="3" t="n">
        <v>4435.12</v>
      </c>
      <c r="D14" s="4" t="n">
        <f>C14/B14</f>
        <v>0.012581900709219858</v>
      </c>
    </row>
    <row r="15">
      <c r="A15" s="2" t="inlineStr">
        <is>
          <t>HY14</t>
        </is>
      </c>
      <c r="B15" s="3" t="n">
        <v>373500</v>
      </c>
      <c r="C15" s="3" t="n">
        <v>5578.28</v>
      </c>
      <c r="D15" s="4" t="n">
        <f>C15/B15</f>
        <v>0.014935153949129852</v>
      </c>
    </row>
    <row r="16">
      <c r="A16" s="2" t="inlineStr">
        <is>
          <t>HY15</t>
        </is>
      </c>
      <c r="B16" s="3" t="n">
        <v>151500</v>
      </c>
      <c r="C16" s="3" t="n">
        <v>1059.89</v>
      </c>
      <c r="D16" s="4" t="n">
        <f>C16/B16</f>
        <v>0.006995973597359736</v>
      </c>
    </row>
    <row r="17">
      <c r="A17" s="2" t="inlineStr">
        <is>
          <t>HY16</t>
        </is>
      </c>
      <c r="B17" s="3" t="n">
        <v>361500</v>
      </c>
      <c r="C17" s="3" t="n">
        <v>4498</v>
      </c>
      <c r="D17" s="4" t="n">
        <f>C17/B17</f>
        <v>0.012442600276625172</v>
      </c>
    </row>
    <row r="18">
      <c r="A18" s="2" t="inlineStr">
        <is>
          <t>HY17</t>
        </is>
      </c>
      <c r="B18" s="3" t="n">
        <v>204000</v>
      </c>
      <c r="C18" s="3" t="n">
        <v>1953.23</v>
      </c>
      <c r="D18" s="4" t="n">
        <f>C18/B18</f>
        <v>0.009574656862745098</v>
      </c>
    </row>
    <row r="19">
      <c r="A19" s="2" t="inlineStr">
        <is>
          <t>HY18</t>
        </is>
      </c>
      <c r="B19" s="3" t="n">
        <v>130500</v>
      </c>
      <c r="C19" s="3" t="n">
        <v>1221.47</v>
      </c>
      <c r="D19" s="4" t="n">
        <f>C19/B19</f>
        <v>0.00935992337164751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区域</t>
        </is>
      </c>
      <c r="B1" s="1" t="inlineStr">
        <is>
          <t>存款年末余额合计（万元）</t>
        </is>
      </c>
      <c r="C1" s="1" t="inlineStr">
        <is>
          <t>贷款余额合计（万元）</t>
        </is>
      </c>
      <c r="D1" s="1" t="inlineStr">
        <is>
          <t>不良贷款余额合计（万元）</t>
        </is>
      </c>
      <c r="E1" s="1" t="inlineStr">
        <is>
          <t>不良率</t>
        </is>
      </c>
    </row>
    <row r="2">
      <c r="A2" s="2" t="inlineStr">
        <is>
          <t>华东区</t>
        </is>
      </c>
      <c r="B2" s="3" t="n">
        <f>IF($A2="华东区",SUM(存款!$D$2:$D$7),IF($A2="华北区",SUM(存款!$D$8:$D$13),SUM(存款!$D$14:$D$19)))</f>
        <v>157000.0</v>
      </c>
      <c r="C2" s="3" t="n">
        <f>IF($A2="华东区",SUM(贷款!$B$2:$B$7),IF($A2="华北区",SUM(贷款!$B$8:$B$13),SUM(贷款!$B$14:$B$19)))</f>
        <v>1418500</v>
      </c>
      <c r="D2" s="3" t="n">
        <f>IF($A2="华东区",SUM(贷款!$C$2:$C$7),IF($A2="华北区",SUM(贷款!$C$8:$C$13),SUM(贷款!$C$14:$C$19)))</f>
        <v>29694.25</v>
      </c>
      <c r="E2" s="4" t="n">
        <f>D2/C2</f>
        <v>0.020933556573845612</v>
      </c>
    </row>
    <row r="3">
      <c r="A3" s="2" t="inlineStr">
        <is>
          <t>华北区</t>
        </is>
      </c>
      <c r="B3" s="3" t="n">
        <f>IF($A3="华东区",SUM(存款!$D$2:$D$7),IF($A3="华北区",SUM(存款!$D$8:$D$13),SUM(存款!$D$14:$D$19)))</f>
        <v>144500.0</v>
      </c>
      <c r="C3" s="3" t="n">
        <f>IF($A3="华东区",SUM(贷款!$B$2:$B$7),IF($A3="华北区",SUM(贷款!$B$8:$B$13),SUM(贷款!$B$14:$B$19)))</f>
        <v>1172500</v>
      </c>
      <c r="D3" s="3" t="n">
        <f>IF($A3="华东区",SUM(贷款!$C$2:$C$7),IF($A3="华北区",SUM(贷款!$C$8:$C$13),SUM(贷款!$C$14:$C$19)))</f>
        <v>13989.85</v>
      </c>
      <c r="E3" s="4" t="n">
        <f>D3/C3</f>
        <v>0.011931641791044776</v>
      </c>
    </row>
    <row r="4">
      <c r="A4" s="2" t="inlineStr">
        <is>
          <t>西南区</t>
        </is>
      </c>
      <c r="B4" s="3" t="n">
        <f>IF($A4="华东区",SUM(存款!$D$2:$D$7),IF($A4="华北区",SUM(存款!$D$8:$D$13),SUM(存款!$D$14:$D$19)))</f>
        <v>115500.0</v>
      </c>
      <c r="C4" s="3" t="n">
        <f>IF($A4="华东区",SUM(贷款!$B$2:$B$7),IF($A4="华北区",SUM(贷款!$B$8:$B$13),SUM(贷款!$B$14:$B$19)))</f>
        <v>1573500</v>
      </c>
      <c r="D4" s="3" t="n">
        <f>IF($A4="华东区",SUM(贷款!$C$2:$C$7),IF($A4="华北区",SUM(贷款!$C$8:$C$13),SUM(贷款!$C$14:$C$19)))</f>
        <v>18745.989999999998</v>
      </c>
      <c r="E4" s="4" t="n">
        <f>D4/C4</f>
        <v>0.011913562122656497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2026-10-24T23:11:44Z</dcterms:created>
  <dcterms:modified xmlns:dcterms="http://purl.org/dc/terms/" xmlns:xsi="http://www.w3.org/2001/XMLSchema-instance" xsi:type="dcterms:W3CDTF">2026-10-24T23:11:44Z</dcterms:modified>
</cp:coreProperties>
</file>