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明细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¥#,##0.00"/>
    <numFmt numFmtId="165" formatCode="yyyy-mm-dd"/>
  </numFmts>
  <fonts count="5">
    <font>
      <name val="Calibri"/>
      <family val="2"/>
      <color theme="1"/>
      <sz val="11"/>
      <scheme val="minor"/>
    </font>
    <font>
      <name val="微软雅黑"/>
      <b val="1"/>
      <color rgb="001D1D1B"/>
    </font>
    <font>
      <name val="微软雅黑"/>
    </font>
    <font>
      <b val="1"/>
    </font>
    <font>
      <name val="微软雅黑"/>
      <b val="1"/>
    </font>
  </fonts>
  <fills count="3">
    <fill>
      <patternFill/>
    </fill>
    <fill>
      <patternFill patternType="gray125"/>
    </fill>
    <fill>
      <patternFill patternType="solid">
        <fgColor rgb="00E9E8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部门</t>
        </is>
      </c>
      <c r="B1" s="1" t="inlineStr">
        <is>
          <t>2026-01</t>
        </is>
      </c>
      <c r="C1" s="1" t="inlineStr">
        <is>
          <t>2026-02</t>
        </is>
      </c>
      <c r="D1" s="1" t="inlineStr">
        <is>
          <t>2026-03</t>
        </is>
      </c>
      <c r="E1" s="1" t="inlineStr">
        <is>
          <t>2026-04</t>
        </is>
      </c>
      <c r="F1" s="1" t="inlineStr">
        <is>
          <t>2026-05</t>
        </is>
      </c>
      <c r="G1" s="1" t="inlineStr">
        <is>
          <t>2026-06</t>
        </is>
      </c>
      <c r="H1" s="1" t="inlineStr">
        <is>
          <t>全期合计</t>
        </is>
      </c>
    </row>
    <row r="2">
      <c r="A2" s="2" t="inlineStr">
        <is>
          <t>市场部</t>
        </is>
      </c>
      <c r="B2" s="3" t="n">
        <f>SUMIFS(明细!$D$2:$D$241,明细!$B$2:$B$241,$A2,明细!$A$2:$A$241,"&gt;=46023",明细!$A$2:$A$241,"&lt;46054")</f>
        <v>54629.52</v>
      </c>
      <c r="C2" s="3" t="n">
        <f>SUMIFS(明细!$D$2:$D$241,明细!$B$2:$B$241,$A2,明细!$A$2:$A$241,"&gt;=46054",明细!$A$2:$A$241,"&lt;46082")</f>
        <v>66075.08</v>
      </c>
      <c r="D2" s="3" t="n">
        <f>SUMIFS(明细!$D$2:$D$241,明细!$B$2:$B$241,$A2,明细!$A$2:$A$241,"&gt;=46082",明细!$A$2:$A$241,"&lt;46113")</f>
        <v>36168.92</v>
      </c>
      <c r="E2" s="3" t="n">
        <f>SUMIFS(明细!$D$2:$D$241,明细!$B$2:$B$241,$A2,明细!$A$2:$A$241,"&gt;=46113",明细!$A$2:$A$241,"&lt;46143")</f>
        <v>29336.03</v>
      </c>
      <c r="F2" s="3" t="n">
        <f>SUMIFS(明细!$D$2:$D$241,明细!$B$2:$B$241,$A2,明细!$A$2:$A$241,"&gt;=46143",明细!$A$2:$A$241,"&lt;46174")</f>
        <v>39995.28</v>
      </c>
      <c r="G2" s="3" t="n">
        <f>SUMIFS(明细!$D$2:$D$241,明细!$B$2:$B$241,$A2,明细!$A$2:$A$241,"&gt;=46174",明细!$A$2:$A$241,"&lt;46204")</f>
        <v>56581.79</v>
      </c>
      <c r="H2" s="3" t="n">
        <f>SUM(B2:G2)</f>
        <v>282786.62</v>
      </c>
    </row>
    <row r="3">
      <c r="A3" s="2" t="inlineStr">
        <is>
          <t>研发部</t>
        </is>
      </c>
      <c r="B3" s="3" t="n">
        <f>SUMIFS(明细!$D$2:$D$241,明细!$B$2:$B$241,$A3,明细!$A$2:$A$241,"&gt;=46023",明细!$A$2:$A$241,"&lt;46054")</f>
        <v>95462.54000000001</v>
      </c>
      <c r="C3" s="3" t="n">
        <f>SUMIFS(明细!$D$2:$D$241,明细!$B$2:$B$241,$A3,明细!$A$2:$A$241,"&gt;=46054",明细!$A$2:$A$241,"&lt;46082")</f>
        <v>61806.19</v>
      </c>
      <c r="D3" s="3" t="n">
        <f>SUMIFS(明细!$D$2:$D$241,明细!$B$2:$B$241,$A3,明细!$A$2:$A$241,"&gt;=46082",明细!$A$2:$A$241,"&lt;46113")</f>
        <v>22925.030000000002</v>
      </c>
      <c r="E3" s="3" t="n">
        <f>SUMIFS(明细!$D$2:$D$241,明细!$B$2:$B$241,$A3,明细!$A$2:$A$241,"&gt;=46113",明细!$A$2:$A$241,"&lt;46143")</f>
        <v>23659.29</v>
      </c>
      <c r="F3" s="3" t="n">
        <f>SUMIFS(明细!$D$2:$D$241,明细!$B$2:$B$241,$A3,明细!$A$2:$A$241,"&gt;=46143",明细!$A$2:$A$241,"&lt;46174")</f>
        <v>60118.79</v>
      </c>
      <c r="G3" s="3" t="n">
        <f>SUMIFS(明细!$D$2:$D$241,明细!$B$2:$B$241,$A3,明细!$A$2:$A$241,"&gt;=46174",明细!$A$2:$A$241,"&lt;46204")</f>
        <v>31974.73</v>
      </c>
      <c r="H3" s="3" t="n">
        <f>SUM(B3:G3)</f>
        <v>295946.57</v>
      </c>
    </row>
    <row r="4">
      <c r="A4" s="2" t="inlineStr">
        <is>
          <t>行政部</t>
        </is>
      </c>
      <c r="B4" s="3" t="n">
        <f>SUMIFS(明细!$D$2:$D$241,明细!$B$2:$B$241,$A4,明细!$A$2:$A$241,"&gt;=46023",明细!$A$2:$A$241,"&lt;46054")</f>
        <v>33354.200000000004</v>
      </c>
      <c r="C4" s="3" t="n">
        <f>SUMIFS(明细!$D$2:$D$241,明细!$B$2:$B$241,$A4,明细!$A$2:$A$241,"&gt;=46054",明细!$A$2:$A$241,"&lt;46082")</f>
        <v>44852.61</v>
      </c>
      <c r="D4" s="3" t="n">
        <f>SUMIFS(明细!$D$2:$D$241,明细!$B$2:$B$241,$A4,明细!$A$2:$A$241,"&gt;=46082",明细!$A$2:$A$241,"&lt;46113")</f>
        <v>42380.08</v>
      </c>
      <c r="E4" s="3" t="n">
        <f>SUMIFS(明细!$D$2:$D$241,明细!$B$2:$B$241,$A4,明细!$A$2:$A$241,"&gt;=46113",明细!$A$2:$A$241,"&lt;46143")</f>
        <v>30454.7</v>
      </c>
      <c r="F4" s="3" t="n">
        <f>SUMIFS(明细!$D$2:$D$241,明细!$B$2:$B$241,$A4,明细!$A$2:$A$241,"&gt;=46143",明细!$A$2:$A$241,"&lt;46174")</f>
        <v>23430.9</v>
      </c>
      <c r="G4" s="3" t="n">
        <f>SUMIFS(明细!$D$2:$D$241,明细!$B$2:$B$241,$A4,明细!$A$2:$A$241,"&gt;=46174",明细!$A$2:$A$241,"&lt;46204")</f>
        <v>33756.86</v>
      </c>
      <c r="H4" s="3" t="n">
        <f>SUM(B4:G4)</f>
        <v>208229.35</v>
      </c>
    </row>
    <row r="5">
      <c r="A5" s="2" t="inlineStr">
        <is>
          <t>财务部</t>
        </is>
      </c>
      <c r="B5" s="3" t="n">
        <f>SUMIFS(明细!$D$2:$D$241,明细!$B$2:$B$241,$A5,明细!$A$2:$A$241,"&gt;=46023",明细!$A$2:$A$241,"&lt;46054")</f>
        <v>92034.57</v>
      </c>
      <c r="C5" s="3" t="n">
        <f>SUMIFS(明细!$D$2:$D$241,明细!$B$2:$B$241,$A5,明细!$A$2:$A$241,"&gt;=46054",明细!$A$2:$A$241,"&lt;46082")</f>
        <v>64472.49</v>
      </c>
      <c r="D5" s="3" t="n">
        <f>SUMIFS(明细!$D$2:$D$241,明细!$B$2:$B$241,$A5,明细!$A$2:$A$241,"&gt;=46082",明细!$A$2:$A$241,"&lt;46113")</f>
        <v>60436.04</v>
      </c>
      <c r="E5" s="3" t="n">
        <f>SUMIFS(明细!$D$2:$D$241,明细!$B$2:$B$241,$A5,明细!$A$2:$A$241,"&gt;=46113",明细!$A$2:$A$241,"&lt;46143")</f>
        <v>71407.62</v>
      </c>
      <c r="F5" s="3" t="n">
        <f>SUMIFS(明细!$D$2:$D$241,明细!$B$2:$B$241,$A5,明细!$A$2:$A$241,"&gt;=46143",明细!$A$2:$A$241,"&lt;46174")</f>
        <v>37638.32</v>
      </c>
      <c r="G5" s="3" t="n">
        <f>SUMIFS(明细!$D$2:$D$241,明细!$B$2:$B$241,$A5,明细!$A$2:$A$241,"&gt;=46174",明细!$A$2:$A$241,"&lt;46204")</f>
        <v>61098.06</v>
      </c>
      <c r="H5" s="3" t="n">
        <f>SUM(B5:G5)</f>
        <v>387087.1</v>
      </c>
    </row>
    <row r="6">
      <c r="A6" s="2" t="inlineStr">
        <is>
          <t>销售部</t>
        </is>
      </c>
      <c r="B6" s="3" t="n">
        <f>SUMIFS(明细!$D$2:$D$241,明细!$B$2:$B$241,$A6,明细!$A$2:$A$241,"&gt;=46023",明细!$A$2:$A$241,"&lt;46054")</f>
        <v>76290.05</v>
      </c>
      <c r="C6" s="3" t="n">
        <f>SUMIFS(明细!$D$2:$D$241,明细!$B$2:$B$241,$A6,明细!$A$2:$A$241,"&gt;=46054",明细!$A$2:$A$241,"&lt;46082")</f>
        <v>56311.36</v>
      </c>
      <c r="D6" s="3" t="n">
        <f>SUMIFS(明细!$D$2:$D$241,明细!$B$2:$B$241,$A6,明细!$A$2:$A$241,"&gt;=46082",明细!$A$2:$A$241,"&lt;46113")</f>
        <v>43238.75</v>
      </c>
      <c r="E6" s="3" t="n">
        <f>SUMIFS(明细!$D$2:$D$241,明细!$B$2:$B$241,$A6,明细!$A$2:$A$241,"&gt;=46113",明细!$A$2:$A$241,"&lt;46143")</f>
        <v>51816.490000000005</v>
      </c>
      <c r="F6" s="3" t="n">
        <f>SUMIFS(明细!$D$2:$D$241,明细!$B$2:$B$241,$A6,明细!$A$2:$A$241,"&gt;=46143",明细!$A$2:$A$241,"&lt;46174")</f>
        <v>46669.0</v>
      </c>
      <c r="G6" s="3" t="n">
        <f>SUMIFS(明细!$D$2:$D$241,明细!$B$2:$B$241,$A6,明细!$A$2:$A$241,"&gt;=46174",明细!$A$2:$A$241,"&lt;46204")</f>
        <v>30738.57</v>
      </c>
      <c r="H6" s="3" t="n">
        <f>SUM(B6:G6)</f>
        <v>305064.22000000003</v>
      </c>
    </row>
    <row r="7">
      <c r="A7" s="4" t="inlineStr">
        <is>
          <t>合计</t>
        </is>
      </c>
      <c r="B7" s="5" t="n">
        <f>SUM(B2:B6)</f>
        <v>351770.88</v>
      </c>
      <c r="C7" s="5" t="n">
        <f>SUM(C2:C6)</f>
        <v>293517.73</v>
      </c>
      <c r="D7" s="5" t="n">
        <f>SUM(D2:D6)</f>
        <v>205148.82</v>
      </c>
      <c r="E7" s="5" t="n">
        <f>SUM(E2:E6)</f>
        <v>206674.13</v>
      </c>
      <c r="F7" s="5" t="n">
        <f>SUM(F2:F6)</f>
        <v>207852.29</v>
      </c>
      <c r="G7" s="5" t="n">
        <f>SUM(G2:G6)</f>
        <v>214150.01</v>
      </c>
      <c r="H7" s="5" t="n">
        <f>SUM(H2:H6)</f>
        <v>1479113.86</v>
      </c>
    </row>
    <row r="8"/>
    <row r="9">
      <c r="A9" t="inlineStr">
        <is>
          <t>金额由公式引用明细表计算；日期条件使用 Excel 日期序列值。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6" customWidth="1" min="4" max="4"/>
    <col width="18" customWidth="1" min="5" max="5"/>
  </cols>
  <sheetData>
    <row r="1">
      <c r="A1" s="1" t="inlineStr">
        <is>
          <t>日期</t>
        </is>
      </c>
      <c r="B1" s="1" t="inlineStr">
        <is>
          <t>部门</t>
        </is>
      </c>
      <c r="C1" s="1" t="inlineStr">
        <is>
          <t>类别</t>
        </is>
      </c>
      <c r="D1" s="1" t="inlineStr">
        <is>
          <t>金额（元）</t>
        </is>
      </c>
      <c r="E1" s="1" t="inlineStr">
        <is>
          <t>经办人</t>
        </is>
      </c>
    </row>
    <row r="2">
      <c r="A2" s="6" t="n">
        <v>46030</v>
      </c>
      <c r="B2" s="2" t="inlineStr">
        <is>
          <t>财务部</t>
        </is>
      </c>
      <c r="C2" s="2" t="inlineStr">
        <is>
          <t>培训</t>
        </is>
      </c>
      <c r="D2" s="3" t="n">
        <v>10544.29</v>
      </c>
      <c r="E2" s="2" t="inlineStr">
        <is>
          <t>王敏</t>
        </is>
      </c>
    </row>
    <row r="3">
      <c r="A3" s="6" t="n">
        <v>46098</v>
      </c>
      <c r="B3" s="2" t="inlineStr">
        <is>
          <t>市场部</t>
        </is>
      </c>
      <c r="C3" s="2" t="inlineStr">
        <is>
          <t>办公</t>
        </is>
      </c>
      <c r="D3" s="3" t="n">
        <v>4828.42</v>
      </c>
      <c r="E3" s="2" t="inlineStr">
        <is>
          <t>王敏</t>
        </is>
      </c>
    </row>
    <row r="4">
      <c r="A4" s="6" t="n">
        <v>46109</v>
      </c>
      <c r="B4" s="2" t="inlineStr">
        <is>
          <t>销售部</t>
        </is>
      </c>
      <c r="C4" s="2" t="inlineStr">
        <is>
          <t>差旅</t>
        </is>
      </c>
      <c r="D4" s="3" t="n">
        <v>8867.5</v>
      </c>
      <c r="E4" s="2" t="inlineStr">
        <is>
          <t>李强</t>
        </is>
      </c>
    </row>
    <row r="5">
      <c r="A5" s="6" t="n">
        <v>46126</v>
      </c>
      <c r="B5" s="2" t="inlineStr">
        <is>
          <t>市场部</t>
        </is>
      </c>
      <c r="C5" s="2" t="inlineStr">
        <is>
          <t>软件</t>
        </is>
      </c>
      <c r="D5" s="3" t="n">
        <v>7990.9</v>
      </c>
      <c r="E5" s="2" t="inlineStr">
        <is>
          <t>王敏</t>
        </is>
      </c>
    </row>
    <row r="6">
      <c r="A6" s="6" t="n">
        <v>46092</v>
      </c>
      <c r="B6" s="2" t="inlineStr">
        <is>
          <t>行政部</t>
        </is>
      </c>
      <c r="C6" s="2" t="inlineStr">
        <is>
          <t>培训</t>
        </is>
      </c>
      <c r="D6" s="3" t="n">
        <v>7698.58</v>
      </c>
      <c r="E6" s="2" t="inlineStr">
        <is>
          <t>陈静</t>
        </is>
      </c>
    </row>
    <row r="7">
      <c r="A7" s="6" t="n">
        <v>46150</v>
      </c>
      <c r="B7" s="2" t="inlineStr">
        <is>
          <t>研发部</t>
        </is>
      </c>
      <c r="C7" s="2" t="inlineStr">
        <is>
          <t>招待</t>
        </is>
      </c>
      <c r="D7" s="3" t="n">
        <v>7363.17</v>
      </c>
      <c r="E7" s="2" t="inlineStr">
        <is>
          <t>孙悦</t>
        </is>
      </c>
    </row>
    <row r="8">
      <c r="A8" s="6" t="n">
        <v>46159</v>
      </c>
      <c r="B8" s="2" t="inlineStr">
        <is>
          <t>行政部</t>
        </is>
      </c>
      <c r="C8" s="2" t="inlineStr">
        <is>
          <t>软件</t>
        </is>
      </c>
      <c r="D8" s="3" t="n">
        <v>3772.14</v>
      </c>
      <c r="E8" s="2" t="inlineStr">
        <is>
          <t>赵磊</t>
        </is>
      </c>
    </row>
    <row r="9">
      <c r="A9" s="6" t="n">
        <v>46097</v>
      </c>
      <c r="B9" s="2" t="inlineStr">
        <is>
          <t>市场部</t>
        </is>
      </c>
      <c r="C9" s="2" t="inlineStr">
        <is>
          <t>差旅</t>
        </is>
      </c>
      <c r="D9" s="3" t="n">
        <v>81.5</v>
      </c>
      <c r="E9" s="2" t="inlineStr">
        <is>
          <t>李强</t>
        </is>
      </c>
    </row>
    <row r="10">
      <c r="A10" s="6" t="n">
        <v>46046</v>
      </c>
      <c r="B10" s="2" t="inlineStr">
        <is>
          <t>研发部</t>
        </is>
      </c>
      <c r="C10" s="2" t="inlineStr">
        <is>
          <t>办公</t>
        </is>
      </c>
      <c r="D10" s="3" t="n">
        <v>1508.31</v>
      </c>
      <c r="E10" s="2" t="inlineStr">
        <is>
          <t>王敏</t>
        </is>
      </c>
    </row>
    <row r="11">
      <c r="A11" s="6" t="n">
        <v>46113</v>
      </c>
      <c r="B11" s="2" t="inlineStr">
        <is>
          <t>研发部</t>
        </is>
      </c>
      <c r="C11" s="2" t="inlineStr">
        <is>
          <t>培训</t>
        </is>
      </c>
      <c r="D11" s="3" t="n">
        <v>370.1</v>
      </c>
      <c r="E11" s="2" t="inlineStr">
        <is>
          <t>李强</t>
        </is>
      </c>
    </row>
    <row r="12">
      <c r="A12" s="6" t="n">
        <v>46090</v>
      </c>
      <c r="B12" s="2" t="inlineStr">
        <is>
          <t>市场部</t>
        </is>
      </c>
      <c r="C12" s="2" t="inlineStr">
        <is>
          <t>办公</t>
        </is>
      </c>
      <c r="D12" s="3" t="n">
        <v>7097.57</v>
      </c>
      <c r="E12" s="2" t="inlineStr">
        <is>
          <t>赵磊</t>
        </is>
      </c>
    </row>
    <row r="13">
      <c r="A13" s="6" t="n">
        <v>46078</v>
      </c>
      <c r="B13" s="2" t="inlineStr">
        <is>
          <t>行政部</t>
        </is>
      </c>
      <c r="C13" s="2" t="inlineStr">
        <is>
          <t>办公</t>
        </is>
      </c>
      <c r="D13" s="3" t="n">
        <v>4567.32</v>
      </c>
      <c r="E13" s="2" t="inlineStr">
        <is>
          <t>李强</t>
        </is>
      </c>
    </row>
    <row r="14">
      <c r="A14" s="6" t="n">
        <v>46028</v>
      </c>
      <c r="B14" s="2" t="inlineStr">
        <is>
          <t>财务部</t>
        </is>
      </c>
      <c r="C14" s="2" t="inlineStr">
        <is>
          <t>差旅</t>
        </is>
      </c>
      <c r="D14" s="3" t="n">
        <v>1912.72</v>
      </c>
      <c r="E14" s="2" t="inlineStr">
        <is>
          <t>李强</t>
        </is>
      </c>
    </row>
    <row r="15">
      <c r="A15" s="6" t="n">
        <v>46035</v>
      </c>
      <c r="B15" s="2" t="inlineStr">
        <is>
          <t>市场部</t>
        </is>
      </c>
      <c r="C15" s="2" t="inlineStr">
        <is>
          <t>培训</t>
        </is>
      </c>
      <c r="D15" s="3" t="n">
        <v>10557.45</v>
      </c>
      <c r="E15" s="2" t="inlineStr">
        <is>
          <t>李强</t>
        </is>
      </c>
    </row>
    <row r="16">
      <c r="A16" s="6" t="n">
        <v>46055</v>
      </c>
      <c r="B16" s="2" t="inlineStr">
        <is>
          <t>市场部</t>
        </is>
      </c>
      <c r="C16" s="2" t="inlineStr">
        <is>
          <t>办公</t>
        </is>
      </c>
      <c r="D16" s="3" t="n">
        <v>11195.11</v>
      </c>
      <c r="E16" s="2" t="inlineStr">
        <is>
          <t>赵磊</t>
        </is>
      </c>
    </row>
    <row r="17">
      <c r="A17" s="6" t="n">
        <v>46024</v>
      </c>
      <c r="B17" s="2" t="inlineStr">
        <is>
          <t>销售部</t>
        </is>
      </c>
      <c r="C17" s="2" t="inlineStr">
        <is>
          <t>办公</t>
        </is>
      </c>
      <c r="D17" s="3" t="n">
        <v>4833.46</v>
      </c>
      <c r="E17" s="2" t="inlineStr">
        <is>
          <t>孙悦</t>
        </is>
      </c>
    </row>
    <row r="18">
      <c r="A18" s="6" t="n">
        <v>46155</v>
      </c>
      <c r="B18" s="2" t="inlineStr">
        <is>
          <t>销售部</t>
        </is>
      </c>
      <c r="C18" s="2" t="inlineStr">
        <is>
          <t>办公</t>
        </is>
      </c>
      <c r="D18" s="3" t="n">
        <v>6713.53</v>
      </c>
      <c r="E18" s="2" t="inlineStr">
        <is>
          <t>李强</t>
        </is>
      </c>
    </row>
    <row r="19">
      <c r="A19" s="6" t="n">
        <v>46159</v>
      </c>
      <c r="B19" s="2" t="inlineStr">
        <is>
          <t>销售部</t>
        </is>
      </c>
      <c r="C19" s="2" t="inlineStr">
        <is>
          <t>办公</t>
        </is>
      </c>
      <c r="D19" s="3" t="n">
        <v>3509.86</v>
      </c>
      <c r="E19" s="2" t="inlineStr">
        <is>
          <t>王敏</t>
        </is>
      </c>
    </row>
    <row r="20">
      <c r="A20" s="6" t="n">
        <v>46046</v>
      </c>
      <c r="B20" s="2" t="inlineStr">
        <is>
          <t>行政部</t>
        </is>
      </c>
      <c r="C20" s="2" t="inlineStr">
        <is>
          <t>培训</t>
        </is>
      </c>
      <c r="D20" s="3" t="n">
        <v>10253.53</v>
      </c>
      <c r="E20" s="2" t="inlineStr">
        <is>
          <t>赵磊</t>
        </is>
      </c>
    </row>
    <row r="21">
      <c r="A21" s="6" t="n">
        <v>46074</v>
      </c>
      <c r="B21" s="2" t="inlineStr">
        <is>
          <t>研发部</t>
        </is>
      </c>
      <c r="C21" s="2" t="inlineStr">
        <is>
          <t>培训</t>
        </is>
      </c>
      <c r="D21" s="3" t="n">
        <v>11538.8</v>
      </c>
      <c r="E21" s="2" t="inlineStr">
        <is>
          <t>李强</t>
        </is>
      </c>
    </row>
    <row r="22">
      <c r="A22" s="6" t="n">
        <v>46144</v>
      </c>
      <c r="B22" s="2" t="inlineStr">
        <is>
          <t>财务部</t>
        </is>
      </c>
      <c r="C22" s="2" t="inlineStr">
        <is>
          <t>差旅</t>
        </is>
      </c>
      <c r="D22" s="3" t="n">
        <v>6369.68</v>
      </c>
      <c r="E22" s="2" t="inlineStr">
        <is>
          <t>陈静</t>
        </is>
      </c>
    </row>
    <row r="23">
      <c r="A23" s="6" t="n">
        <v>46070</v>
      </c>
      <c r="B23" s="2" t="inlineStr">
        <is>
          <t>财务部</t>
        </is>
      </c>
      <c r="C23" s="2" t="inlineStr">
        <is>
          <t>招待</t>
        </is>
      </c>
      <c r="D23" s="3" t="n">
        <v>5533.8</v>
      </c>
      <c r="E23" s="2" t="inlineStr">
        <is>
          <t>李强</t>
        </is>
      </c>
    </row>
    <row r="24">
      <c r="A24" s="6" t="n">
        <v>46194</v>
      </c>
      <c r="B24" s="2" t="inlineStr">
        <is>
          <t>行政部</t>
        </is>
      </c>
      <c r="C24" s="2" t="inlineStr">
        <is>
          <t>办公</t>
        </is>
      </c>
      <c r="D24" s="3" t="n">
        <v>3681.71</v>
      </c>
      <c r="E24" s="2" t="inlineStr">
        <is>
          <t>赵磊</t>
        </is>
      </c>
    </row>
    <row r="25">
      <c r="A25" s="6" t="n">
        <v>46048</v>
      </c>
      <c r="B25" s="2" t="inlineStr">
        <is>
          <t>研发部</t>
        </is>
      </c>
      <c r="C25" s="2" t="inlineStr">
        <is>
          <t>招待</t>
        </is>
      </c>
      <c r="D25" s="3" t="n">
        <v>11089.37</v>
      </c>
      <c r="E25" s="2" t="inlineStr">
        <is>
          <t>赵磊</t>
        </is>
      </c>
    </row>
    <row r="26">
      <c r="A26" s="6" t="n">
        <v>46093</v>
      </c>
      <c r="B26" s="2" t="inlineStr">
        <is>
          <t>销售部</t>
        </is>
      </c>
      <c r="C26" s="2" t="inlineStr">
        <is>
          <t>培训</t>
        </is>
      </c>
      <c r="D26" s="3" t="n">
        <v>1150.14</v>
      </c>
      <c r="E26" s="2" t="inlineStr">
        <is>
          <t>孙悦</t>
        </is>
      </c>
    </row>
    <row r="27">
      <c r="A27" s="6" t="n">
        <v>46150</v>
      </c>
      <c r="B27" s="2" t="inlineStr">
        <is>
          <t>财务部</t>
        </is>
      </c>
      <c r="C27" s="2" t="inlineStr">
        <is>
          <t>办公</t>
        </is>
      </c>
      <c r="D27" s="3" t="n">
        <v>5113.19</v>
      </c>
      <c r="E27" s="2" t="inlineStr">
        <is>
          <t>王敏</t>
        </is>
      </c>
    </row>
    <row r="28">
      <c r="A28" s="6" t="n">
        <v>46025</v>
      </c>
      <c r="B28" s="2" t="inlineStr">
        <is>
          <t>市场部</t>
        </is>
      </c>
      <c r="C28" s="2" t="inlineStr">
        <is>
          <t>招待</t>
        </is>
      </c>
      <c r="D28" s="3" t="n">
        <v>3928.39</v>
      </c>
      <c r="E28" s="2" t="inlineStr">
        <is>
          <t>孙悦</t>
        </is>
      </c>
    </row>
    <row r="29">
      <c r="A29" s="6" t="n">
        <v>46150</v>
      </c>
      <c r="B29" s="2" t="inlineStr">
        <is>
          <t>研发部</t>
        </is>
      </c>
      <c r="C29" s="2" t="inlineStr">
        <is>
          <t>差旅</t>
        </is>
      </c>
      <c r="D29" s="3" t="n">
        <v>6978.52</v>
      </c>
      <c r="E29" s="2" t="inlineStr">
        <is>
          <t>孙悦</t>
        </is>
      </c>
    </row>
    <row r="30">
      <c r="A30" s="6" t="n">
        <v>46057</v>
      </c>
      <c r="B30" s="2" t="inlineStr">
        <is>
          <t>销售部</t>
        </is>
      </c>
      <c r="C30" s="2" t="inlineStr">
        <is>
          <t>培训</t>
        </is>
      </c>
      <c r="D30" s="3" t="n">
        <v>7267.41</v>
      </c>
      <c r="E30" s="2" t="inlineStr">
        <is>
          <t>孙悦</t>
        </is>
      </c>
    </row>
    <row r="31">
      <c r="A31" s="6" t="n">
        <v>46197</v>
      </c>
      <c r="B31" s="2" t="inlineStr">
        <is>
          <t>财务部</t>
        </is>
      </c>
      <c r="C31" s="2" t="inlineStr">
        <is>
          <t>培训</t>
        </is>
      </c>
      <c r="D31" s="3" t="n">
        <v>3383.91</v>
      </c>
      <c r="E31" s="2" t="inlineStr">
        <is>
          <t>李强</t>
        </is>
      </c>
    </row>
    <row r="32">
      <c r="A32" s="6" t="n">
        <v>46066</v>
      </c>
      <c r="B32" s="2" t="inlineStr">
        <is>
          <t>研发部</t>
        </is>
      </c>
      <c r="C32" s="2" t="inlineStr">
        <is>
          <t>招待</t>
        </is>
      </c>
      <c r="D32" s="3" t="n">
        <v>11709.53</v>
      </c>
      <c r="E32" s="2" t="inlineStr">
        <is>
          <t>赵磊</t>
        </is>
      </c>
    </row>
    <row r="33">
      <c r="A33" s="6" t="n">
        <v>46078</v>
      </c>
      <c r="B33" s="2" t="inlineStr">
        <is>
          <t>市场部</t>
        </is>
      </c>
      <c r="C33" s="2" t="inlineStr">
        <is>
          <t>软件</t>
        </is>
      </c>
      <c r="D33" s="3" t="n">
        <v>2086.61</v>
      </c>
      <c r="E33" s="2" t="inlineStr">
        <is>
          <t>陈静</t>
        </is>
      </c>
    </row>
    <row r="34">
      <c r="A34" s="6" t="n">
        <v>46191</v>
      </c>
      <c r="B34" s="2" t="inlineStr">
        <is>
          <t>销售部</t>
        </is>
      </c>
      <c r="C34" s="2" t="inlineStr">
        <is>
          <t>培训</t>
        </is>
      </c>
      <c r="D34" s="3" t="n">
        <v>7303.49</v>
      </c>
      <c r="E34" s="2" t="inlineStr">
        <is>
          <t>赵磊</t>
        </is>
      </c>
    </row>
    <row r="35">
      <c r="A35" s="6" t="n">
        <v>46055</v>
      </c>
      <c r="B35" s="2" t="inlineStr">
        <is>
          <t>销售部</t>
        </is>
      </c>
      <c r="C35" s="2" t="inlineStr">
        <is>
          <t>招待</t>
        </is>
      </c>
      <c r="D35" s="3" t="n">
        <v>11349.66</v>
      </c>
      <c r="E35" s="2" t="inlineStr">
        <is>
          <t>李强</t>
        </is>
      </c>
    </row>
    <row r="36">
      <c r="A36" s="6" t="n">
        <v>46028</v>
      </c>
      <c r="B36" s="2" t="inlineStr">
        <is>
          <t>财务部</t>
        </is>
      </c>
      <c r="C36" s="2" t="inlineStr">
        <is>
          <t>软件</t>
        </is>
      </c>
      <c r="D36" s="3" t="n">
        <v>10703.2</v>
      </c>
      <c r="E36" s="2" t="inlineStr">
        <is>
          <t>陈静</t>
        </is>
      </c>
    </row>
    <row r="37">
      <c r="A37" s="6" t="n">
        <v>46126</v>
      </c>
      <c r="B37" s="2" t="inlineStr">
        <is>
          <t>财务部</t>
        </is>
      </c>
      <c r="C37" s="2" t="inlineStr">
        <is>
          <t>差旅</t>
        </is>
      </c>
      <c r="D37" s="3" t="n">
        <v>9201.65</v>
      </c>
      <c r="E37" s="2" t="inlineStr">
        <is>
          <t>李强</t>
        </is>
      </c>
    </row>
    <row r="38">
      <c r="A38" s="6" t="n">
        <v>46155</v>
      </c>
      <c r="B38" s="2" t="inlineStr">
        <is>
          <t>行政部</t>
        </is>
      </c>
      <c r="C38" s="2" t="inlineStr">
        <is>
          <t>软件</t>
        </is>
      </c>
      <c r="D38" s="3" t="n">
        <v>5667.39</v>
      </c>
      <c r="E38" s="2" t="inlineStr">
        <is>
          <t>李强</t>
        </is>
      </c>
    </row>
    <row r="39">
      <c r="A39" s="6" t="n">
        <v>46177</v>
      </c>
      <c r="B39" s="2" t="inlineStr">
        <is>
          <t>行政部</t>
        </is>
      </c>
      <c r="C39" s="2" t="inlineStr">
        <is>
          <t>差旅</t>
        </is>
      </c>
      <c r="D39" s="3" t="n">
        <v>2463.65</v>
      </c>
      <c r="E39" s="2" t="inlineStr">
        <is>
          <t>王敏</t>
        </is>
      </c>
    </row>
    <row r="40">
      <c r="A40" s="6" t="n">
        <v>46084</v>
      </c>
      <c r="B40" s="2" t="inlineStr">
        <is>
          <t>行政部</t>
        </is>
      </c>
      <c r="C40" s="2" t="inlineStr">
        <is>
          <t>办公</t>
        </is>
      </c>
      <c r="D40" s="3" t="n">
        <v>6527.6</v>
      </c>
      <c r="E40" s="2" t="inlineStr">
        <is>
          <t>陈静</t>
        </is>
      </c>
    </row>
    <row r="41">
      <c r="A41" s="6" t="n">
        <v>46114</v>
      </c>
      <c r="B41" s="2" t="inlineStr">
        <is>
          <t>财务部</t>
        </is>
      </c>
      <c r="C41" s="2" t="inlineStr">
        <is>
          <t>培训</t>
        </is>
      </c>
      <c r="D41" s="3" t="n">
        <v>4269.48</v>
      </c>
      <c r="E41" s="2" t="inlineStr">
        <is>
          <t>孙悦</t>
        </is>
      </c>
    </row>
    <row r="42">
      <c r="A42" s="6" t="n">
        <v>46099</v>
      </c>
      <c r="B42" s="2" t="inlineStr">
        <is>
          <t>财务部</t>
        </is>
      </c>
      <c r="C42" s="2" t="inlineStr">
        <is>
          <t>办公</t>
        </is>
      </c>
      <c r="D42" s="3" t="n">
        <v>10645.89</v>
      </c>
      <c r="E42" s="2" t="inlineStr">
        <is>
          <t>陈静</t>
        </is>
      </c>
    </row>
    <row r="43">
      <c r="A43" s="6" t="n">
        <v>46137</v>
      </c>
      <c r="B43" s="2" t="inlineStr">
        <is>
          <t>财务部</t>
        </is>
      </c>
      <c r="C43" s="2" t="inlineStr">
        <is>
          <t>招待</t>
        </is>
      </c>
      <c r="D43" s="3" t="n">
        <v>1690.46</v>
      </c>
      <c r="E43" s="2" t="inlineStr">
        <is>
          <t>李强</t>
        </is>
      </c>
    </row>
    <row r="44">
      <c r="A44" s="6" t="n">
        <v>46137</v>
      </c>
      <c r="B44" s="2" t="inlineStr">
        <is>
          <t>销售部</t>
        </is>
      </c>
      <c r="C44" s="2" t="inlineStr">
        <is>
          <t>培训</t>
        </is>
      </c>
      <c r="D44" s="3" t="n">
        <v>7745.1</v>
      </c>
      <c r="E44" s="2" t="inlineStr">
        <is>
          <t>李强</t>
        </is>
      </c>
    </row>
    <row r="45">
      <c r="A45" s="6" t="n">
        <v>46163</v>
      </c>
      <c r="B45" s="2" t="inlineStr">
        <is>
          <t>销售部</t>
        </is>
      </c>
      <c r="C45" s="2" t="inlineStr">
        <is>
          <t>软件</t>
        </is>
      </c>
      <c r="D45" s="3" t="n">
        <v>3804.38</v>
      </c>
      <c r="E45" s="2" t="inlineStr">
        <is>
          <t>李强</t>
        </is>
      </c>
    </row>
    <row r="46">
      <c r="A46" s="6" t="n">
        <v>46050</v>
      </c>
      <c r="B46" s="2" t="inlineStr">
        <is>
          <t>研发部</t>
        </is>
      </c>
      <c r="C46" s="2" t="inlineStr">
        <is>
          <t>软件</t>
        </is>
      </c>
      <c r="D46" s="3" t="n">
        <v>5692.27</v>
      </c>
      <c r="E46" s="2" t="inlineStr">
        <is>
          <t>陈静</t>
        </is>
      </c>
    </row>
    <row r="47">
      <c r="A47" s="6" t="n">
        <v>46026</v>
      </c>
      <c r="B47" s="2" t="inlineStr">
        <is>
          <t>财务部</t>
        </is>
      </c>
      <c r="C47" s="2" t="inlineStr">
        <is>
          <t>办公</t>
        </is>
      </c>
      <c r="D47" s="3" t="n">
        <v>2003.71</v>
      </c>
      <c r="E47" s="2" t="inlineStr">
        <is>
          <t>王敏</t>
        </is>
      </c>
    </row>
    <row r="48">
      <c r="A48" s="6" t="n">
        <v>46049</v>
      </c>
      <c r="B48" s="2" t="inlineStr">
        <is>
          <t>行政部</t>
        </is>
      </c>
      <c r="C48" s="2" t="inlineStr">
        <is>
          <t>软件</t>
        </is>
      </c>
      <c r="D48" s="3" t="n">
        <v>1830.2</v>
      </c>
      <c r="E48" s="2" t="inlineStr">
        <is>
          <t>孙悦</t>
        </is>
      </c>
    </row>
    <row r="49">
      <c r="A49" s="6" t="n">
        <v>46102</v>
      </c>
      <c r="B49" s="2" t="inlineStr">
        <is>
          <t>财务部</t>
        </is>
      </c>
      <c r="C49" s="2" t="inlineStr">
        <is>
          <t>差旅</t>
        </is>
      </c>
      <c r="D49" s="3" t="n">
        <v>199.79</v>
      </c>
      <c r="E49" s="2" t="inlineStr">
        <is>
          <t>孙悦</t>
        </is>
      </c>
    </row>
    <row r="50">
      <c r="A50" s="6" t="n">
        <v>46034</v>
      </c>
      <c r="B50" s="2" t="inlineStr">
        <is>
          <t>销售部</t>
        </is>
      </c>
      <c r="C50" s="2" t="inlineStr">
        <is>
          <t>软件</t>
        </is>
      </c>
      <c r="D50" s="3" t="n">
        <v>10180.31</v>
      </c>
      <c r="E50" s="2" t="inlineStr">
        <is>
          <t>李强</t>
        </is>
      </c>
    </row>
    <row r="51">
      <c r="A51" s="6" t="n">
        <v>46055</v>
      </c>
      <c r="B51" s="2" t="inlineStr">
        <is>
          <t>销售部</t>
        </is>
      </c>
      <c r="C51" s="2" t="inlineStr">
        <is>
          <t>办公</t>
        </is>
      </c>
      <c r="D51" s="3" t="n">
        <v>4080.06</v>
      </c>
      <c r="E51" s="2" t="inlineStr">
        <is>
          <t>李强</t>
        </is>
      </c>
    </row>
    <row r="52">
      <c r="A52" s="6" t="n">
        <v>46045</v>
      </c>
      <c r="B52" s="2" t="inlineStr">
        <is>
          <t>财务部</t>
        </is>
      </c>
      <c r="C52" s="2" t="inlineStr">
        <is>
          <t>差旅</t>
        </is>
      </c>
      <c r="D52" s="3" t="n">
        <v>8892.370000000001</v>
      </c>
      <c r="E52" s="2" t="inlineStr">
        <is>
          <t>陈静</t>
        </is>
      </c>
    </row>
    <row r="53">
      <c r="A53" s="6" t="n">
        <v>46109</v>
      </c>
      <c r="B53" s="2" t="inlineStr">
        <is>
          <t>市场部</t>
        </is>
      </c>
      <c r="C53" s="2" t="inlineStr">
        <is>
          <t>软件</t>
        </is>
      </c>
      <c r="D53" s="3" t="n">
        <v>10115.4</v>
      </c>
      <c r="E53" s="2" t="inlineStr">
        <is>
          <t>李强</t>
        </is>
      </c>
    </row>
    <row r="54">
      <c r="A54" s="6" t="n">
        <v>46041</v>
      </c>
      <c r="B54" s="2" t="inlineStr">
        <is>
          <t>市场部</t>
        </is>
      </c>
      <c r="C54" s="2" t="inlineStr">
        <is>
          <t>招待</t>
        </is>
      </c>
      <c r="D54" s="3" t="n">
        <v>11079.63</v>
      </c>
      <c r="E54" s="2" t="inlineStr">
        <is>
          <t>陈静</t>
        </is>
      </c>
    </row>
    <row r="55">
      <c r="A55" s="6" t="n">
        <v>46032</v>
      </c>
      <c r="B55" s="2" t="inlineStr">
        <is>
          <t>财务部</t>
        </is>
      </c>
      <c r="C55" s="2" t="inlineStr">
        <is>
          <t>差旅</t>
        </is>
      </c>
      <c r="D55" s="3" t="n">
        <v>10320.53</v>
      </c>
      <c r="E55" s="2" t="inlineStr">
        <is>
          <t>王敏</t>
        </is>
      </c>
    </row>
    <row r="56">
      <c r="A56" s="6" t="n">
        <v>46182</v>
      </c>
      <c r="B56" s="2" t="inlineStr">
        <is>
          <t>行政部</t>
        </is>
      </c>
      <c r="C56" s="2" t="inlineStr">
        <is>
          <t>差旅</t>
        </is>
      </c>
      <c r="D56" s="3" t="n">
        <v>596.23</v>
      </c>
      <c r="E56" s="2" t="inlineStr">
        <is>
          <t>李强</t>
        </is>
      </c>
    </row>
    <row r="57">
      <c r="A57" s="6" t="n">
        <v>46104</v>
      </c>
      <c r="B57" s="2" t="inlineStr">
        <is>
          <t>研发部</t>
        </is>
      </c>
      <c r="C57" s="2" t="inlineStr">
        <is>
          <t>软件</t>
        </is>
      </c>
      <c r="D57" s="3" t="n">
        <v>5669.27</v>
      </c>
      <c r="E57" s="2" t="inlineStr">
        <is>
          <t>王敏</t>
        </is>
      </c>
    </row>
    <row r="58">
      <c r="A58" s="6" t="n">
        <v>46076</v>
      </c>
      <c r="B58" s="2" t="inlineStr">
        <is>
          <t>市场部</t>
        </is>
      </c>
      <c r="C58" s="2" t="inlineStr">
        <is>
          <t>招待</t>
        </is>
      </c>
      <c r="D58" s="3" t="n">
        <v>5595.03</v>
      </c>
      <c r="E58" s="2" t="inlineStr">
        <is>
          <t>赵磊</t>
        </is>
      </c>
    </row>
    <row r="59">
      <c r="A59" s="6" t="n">
        <v>46116</v>
      </c>
      <c r="B59" s="2" t="inlineStr">
        <is>
          <t>研发部</t>
        </is>
      </c>
      <c r="C59" s="2" t="inlineStr">
        <is>
          <t>培训</t>
        </is>
      </c>
      <c r="D59" s="3" t="n">
        <v>4884.57</v>
      </c>
      <c r="E59" s="2" t="inlineStr">
        <is>
          <t>李强</t>
        </is>
      </c>
    </row>
    <row r="60">
      <c r="A60" s="6" t="n">
        <v>46062</v>
      </c>
      <c r="B60" s="2" t="inlineStr">
        <is>
          <t>行政部</t>
        </is>
      </c>
      <c r="C60" s="2" t="inlineStr">
        <is>
          <t>培训</t>
        </is>
      </c>
      <c r="D60" s="3" t="n">
        <v>1053.02</v>
      </c>
      <c r="E60" s="2" t="inlineStr">
        <is>
          <t>李强</t>
        </is>
      </c>
    </row>
    <row r="61">
      <c r="A61" s="6" t="n">
        <v>46089</v>
      </c>
      <c r="B61" s="2" t="inlineStr">
        <is>
          <t>销售部</t>
        </is>
      </c>
      <c r="C61" s="2" t="inlineStr">
        <is>
          <t>差旅</t>
        </is>
      </c>
      <c r="D61" s="3" t="n">
        <v>10393.07</v>
      </c>
      <c r="E61" s="2" t="inlineStr">
        <is>
          <t>王敏</t>
        </is>
      </c>
    </row>
    <row r="62">
      <c r="A62" s="6" t="n">
        <v>46091</v>
      </c>
      <c r="B62" s="2" t="inlineStr">
        <is>
          <t>行政部</t>
        </is>
      </c>
      <c r="C62" s="2" t="inlineStr">
        <is>
          <t>招待</t>
        </is>
      </c>
      <c r="D62" s="3" t="n">
        <v>9888.5</v>
      </c>
      <c r="E62" s="2" t="inlineStr">
        <is>
          <t>李强</t>
        </is>
      </c>
    </row>
    <row r="63">
      <c r="A63" s="6" t="n">
        <v>46071</v>
      </c>
      <c r="B63" s="2" t="inlineStr">
        <is>
          <t>市场部</t>
        </is>
      </c>
      <c r="C63" s="2" t="inlineStr">
        <is>
          <t>差旅</t>
        </is>
      </c>
      <c r="D63" s="3" t="n">
        <v>5948.89</v>
      </c>
      <c r="E63" s="2" t="inlineStr">
        <is>
          <t>赵磊</t>
        </is>
      </c>
    </row>
    <row r="64">
      <c r="A64" s="6" t="n">
        <v>46061</v>
      </c>
      <c r="B64" s="2" t="inlineStr">
        <is>
          <t>财务部</t>
        </is>
      </c>
      <c r="C64" s="2" t="inlineStr">
        <is>
          <t>培训</t>
        </is>
      </c>
      <c r="D64" s="3" t="n">
        <v>9360.610000000001</v>
      </c>
      <c r="E64" s="2" t="inlineStr">
        <is>
          <t>孙悦</t>
        </is>
      </c>
    </row>
    <row r="65">
      <c r="A65" s="6" t="n">
        <v>46197</v>
      </c>
      <c r="B65" s="2" t="inlineStr">
        <is>
          <t>销售部</t>
        </is>
      </c>
      <c r="C65" s="2" t="inlineStr">
        <is>
          <t>办公</t>
        </is>
      </c>
      <c r="D65" s="3" t="n">
        <v>2244.27</v>
      </c>
      <c r="E65" s="2" t="inlineStr">
        <is>
          <t>李强</t>
        </is>
      </c>
    </row>
    <row r="66">
      <c r="A66" s="6" t="n">
        <v>46073</v>
      </c>
      <c r="B66" s="2" t="inlineStr">
        <is>
          <t>销售部</t>
        </is>
      </c>
      <c r="C66" s="2" t="inlineStr">
        <is>
          <t>办公</t>
        </is>
      </c>
      <c r="D66" s="3" t="n">
        <v>2122.88</v>
      </c>
      <c r="E66" s="2" t="inlineStr">
        <is>
          <t>赵磊</t>
        </is>
      </c>
    </row>
    <row r="67">
      <c r="A67" s="6" t="n">
        <v>46197</v>
      </c>
      <c r="B67" s="2" t="inlineStr">
        <is>
          <t>行政部</t>
        </is>
      </c>
      <c r="C67" s="2" t="inlineStr">
        <is>
          <t>办公</t>
        </is>
      </c>
      <c r="D67" s="3" t="n">
        <v>496.24</v>
      </c>
      <c r="E67" s="2" t="inlineStr">
        <is>
          <t>赵磊</t>
        </is>
      </c>
    </row>
    <row r="68">
      <c r="A68" s="6" t="n">
        <v>46057</v>
      </c>
      <c r="B68" s="2" t="inlineStr">
        <is>
          <t>财务部</t>
        </is>
      </c>
      <c r="C68" s="2" t="inlineStr">
        <is>
          <t>招待</t>
        </is>
      </c>
      <c r="D68" s="3" t="n">
        <v>102.99</v>
      </c>
      <c r="E68" s="2" t="inlineStr">
        <is>
          <t>李强</t>
        </is>
      </c>
    </row>
    <row r="69">
      <c r="A69" s="6" t="n">
        <v>46069</v>
      </c>
      <c r="B69" s="2" t="inlineStr">
        <is>
          <t>研发部</t>
        </is>
      </c>
      <c r="C69" s="2" t="inlineStr">
        <is>
          <t>差旅</t>
        </is>
      </c>
      <c r="D69" s="3" t="n">
        <v>6426.43</v>
      </c>
      <c r="E69" s="2" t="inlineStr">
        <is>
          <t>赵磊</t>
        </is>
      </c>
    </row>
    <row r="70">
      <c r="A70" s="6" t="n">
        <v>46054</v>
      </c>
      <c r="B70" s="2" t="inlineStr">
        <is>
          <t>市场部</t>
        </is>
      </c>
      <c r="C70" s="2" t="inlineStr">
        <is>
          <t>软件</t>
        </is>
      </c>
      <c r="D70" s="3" t="n">
        <v>6026.22</v>
      </c>
      <c r="E70" s="2" t="inlineStr">
        <is>
          <t>王敏</t>
        </is>
      </c>
    </row>
    <row r="71">
      <c r="A71" s="6" t="n">
        <v>46102</v>
      </c>
      <c r="B71" s="2" t="inlineStr">
        <is>
          <t>市场部</t>
        </is>
      </c>
      <c r="C71" s="2" t="inlineStr">
        <is>
          <t>差旅</t>
        </is>
      </c>
      <c r="D71" s="3" t="n">
        <v>2339.63</v>
      </c>
      <c r="E71" s="2" t="inlineStr">
        <is>
          <t>王敏</t>
        </is>
      </c>
    </row>
    <row r="72">
      <c r="A72" s="6" t="n">
        <v>46170</v>
      </c>
      <c r="B72" s="2" t="inlineStr">
        <is>
          <t>研发部</t>
        </is>
      </c>
      <c r="C72" s="2" t="inlineStr">
        <is>
          <t>办公</t>
        </is>
      </c>
      <c r="D72" s="3" t="n">
        <v>4869.95</v>
      </c>
      <c r="E72" s="2" t="inlineStr">
        <is>
          <t>孙悦</t>
        </is>
      </c>
    </row>
    <row r="73">
      <c r="A73" s="6" t="n">
        <v>46050</v>
      </c>
      <c r="B73" s="2" t="inlineStr">
        <is>
          <t>财务部</t>
        </is>
      </c>
      <c r="C73" s="2" t="inlineStr">
        <is>
          <t>软件</t>
        </is>
      </c>
      <c r="D73" s="3" t="n">
        <v>10785.97</v>
      </c>
      <c r="E73" s="2" t="inlineStr">
        <is>
          <t>孙悦</t>
        </is>
      </c>
    </row>
    <row r="74">
      <c r="A74" s="6" t="n">
        <v>46048</v>
      </c>
      <c r="B74" s="2" t="inlineStr">
        <is>
          <t>市场部</t>
        </is>
      </c>
      <c r="C74" s="2" t="inlineStr">
        <is>
          <t>培训</t>
        </is>
      </c>
      <c r="D74" s="3" t="n">
        <v>11397.81</v>
      </c>
      <c r="E74" s="2" t="inlineStr">
        <is>
          <t>王敏</t>
        </is>
      </c>
    </row>
    <row r="75">
      <c r="A75" s="6" t="n">
        <v>46048</v>
      </c>
      <c r="B75" s="2" t="inlineStr">
        <is>
          <t>行政部</t>
        </is>
      </c>
      <c r="C75" s="2" t="inlineStr">
        <is>
          <t>差旅</t>
        </is>
      </c>
      <c r="D75" s="3" t="n">
        <v>5405.65</v>
      </c>
      <c r="E75" s="2" t="inlineStr">
        <is>
          <t>李强</t>
        </is>
      </c>
    </row>
    <row r="76">
      <c r="A76" s="6" t="n">
        <v>46121</v>
      </c>
      <c r="B76" s="2" t="inlineStr">
        <is>
          <t>市场部</t>
        </is>
      </c>
      <c r="C76" s="2" t="inlineStr">
        <is>
          <t>招待</t>
        </is>
      </c>
      <c r="D76" s="3" t="n">
        <v>3819.05</v>
      </c>
      <c r="E76" s="2" t="inlineStr">
        <is>
          <t>李强</t>
        </is>
      </c>
    </row>
    <row r="77">
      <c r="A77" s="6" t="n">
        <v>46161</v>
      </c>
      <c r="B77" s="2" t="inlineStr">
        <is>
          <t>研发部</t>
        </is>
      </c>
      <c r="C77" s="2" t="inlineStr">
        <is>
          <t>办公</t>
        </is>
      </c>
      <c r="D77" s="3" t="n">
        <v>5479.53</v>
      </c>
      <c r="E77" s="2" t="inlineStr">
        <is>
          <t>李强</t>
        </is>
      </c>
    </row>
    <row r="78">
      <c r="A78" s="6" t="n">
        <v>46063</v>
      </c>
      <c r="B78" s="2" t="inlineStr">
        <is>
          <t>行政部</t>
        </is>
      </c>
      <c r="C78" s="2" t="inlineStr">
        <is>
          <t>办公</t>
        </is>
      </c>
      <c r="D78" s="3" t="n">
        <v>7213.45</v>
      </c>
      <c r="E78" s="2" t="inlineStr">
        <is>
          <t>王敏</t>
        </is>
      </c>
    </row>
    <row r="79">
      <c r="A79" s="6" t="n">
        <v>46065</v>
      </c>
      <c r="B79" s="2" t="inlineStr">
        <is>
          <t>销售部</t>
        </is>
      </c>
      <c r="C79" s="2" t="inlineStr">
        <is>
          <t>差旅</t>
        </is>
      </c>
      <c r="D79" s="3" t="n">
        <v>10376.6</v>
      </c>
      <c r="E79" s="2" t="inlineStr">
        <is>
          <t>李强</t>
        </is>
      </c>
    </row>
    <row r="80">
      <c r="A80" s="6" t="n">
        <v>46042</v>
      </c>
      <c r="B80" s="2" t="inlineStr">
        <is>
          <t>市场部</t>
        </is>
      </c>
      <c r="C80" s="2" t="inlineStr">
        <is>
          <t>差旅</t>
        </is>
      </c>
      <c r="D80" s="3" t="n">
        <v>1668.62</v>
      </c>
      <c r="E80" s="2" t="inlineStr">
        <is>
          <t>李强</t>
        </is>
      </c>
    </row>
    <row r="81">
      <c r="A81" s="6" t="n">
        <v>46134</v>
      </c>
      <c r="B81" s="2" t="inlineStr">
        <is>
          <t>销售部</t>
        </is>
      </c>
      <c r="C81" s="2" t="inlineStr">
        <is>
          <t>办公</t>
        </is>
      </c>
      <c r="D81" s="3" t="n">
        <v>5397.65</v>
      </c>
      <c r="E81" s="2" t="inlineStr">
        <is>
          <t>王敏</t>
        </is>
      </c>
    </row>
    <row r="82">
      <c r="A82" s="6" t="n">
        <v>46168</v>
      </c>
      <c r="B82" s="2" t="inlineStr">
        <is>
          <t>财务部</t>
        </is>
      </c>
      <c r="C82" s="2" t="inlineStr">
        <is>
          <t>培训</t>
        </is>
      </c>
      <c r="D82" s="3" t="n">
        <v>9754.74</v>
      </c>
      <c r="E82" s="2" t="inlineStr">
        <is>
          <t>孙悦</t>
        </is>
      </c>
    </row>
    <row r="83">
      <c r="A83" s="6" t="n">
        <v>46184</v>
      </c>
      <c r="B83" s="2" t="inlineStr">
        <is>
          <t>市场部</t>
        </is>
      </c>
      <c r="C83" s="2" t="inlineStr">
        <is>
          <t>办公</t>
        </is>
      </c>
      <c r="D83" s="3" t="n">
        <v>9317.969999999999</v>
      </c>
      <c r="E83" s="2" t="inlineStr">
        <is>
          <t>李强</t>
        </is>
      </c>
    </row>
    <row r="84">
      <c r="A84" s="6" t="n">
        <v>46072</v>
      </c>
      <c r="B84" s="2" t="inlineStr">
        <is>
          <t>财务部</t>
        </is>
      </c>
      <c r="C84" s="2" t="inlineStr">
        <is>
          <t>招待</t>
        </is>
      </c>
      <c r="D84" s="3" t="n">
        <v>11050.77</v>
      </c>
      <c r="E84" s="2" t="inlineStr">
        <is>
          <t>赵磊</t>
        </is>
      </c>
    </row>
    <row r="85">
      <c r="A85" s="6" t="n">
        <v>46104</v>
      </c>
      <c r="B85" s="2" t="inlineStr">
        <is>
          <t>市场部</t>
        </is>
      </c>
      <c r="C85" s="2" t="inlineStr">
        <is>
          <t>办公</t>
        </is>
      </c>
      <c r="D85" s="3" t="n">
        <v>11706.4</v>
      </c>
      <c r="E85" s="2" t="inlineStr">
        <is>
          <t>李强</t>
        </is>
      </c>
    </row>
    <row r="86">
      <c r="A86" s="6" t="n">
        <v>46144</v>
      </c>
      <c r="B86" s="2" t="inlineStr">
        <is>
          <t>市场部</t>
        </is>
      </c>
      <c r="C86" s="2" t="inlineStr">
        <is>
          <t>培训</t>
        </is>
      </c>
      <c r="D86" s="3" t="n">
        <v>8921.68</v>
      </c>
      <c r="E86" s="2" t="inlineStr">
        <is>
          <t>李强</t>
        </is>
      </c>
    </row>
    <row r="87">
      <c r="A87" s="6" t="n">
        <v>46196</v>
      </c>
      <c r="B87" s="2" t="inlineStr">
        <is>
          <t>销售部</t>
        </is>
      </c>
      <c r="C87" s="2" t="inlineStr">
        <is>
          <t>差旅</t>
        </is>
      </c>
      <c r="D87" s="3" t="n">
        <v>3221.19</v>
      </c>
      <c r="E87" s="2" t="inlineStr">
        <is>
          <t>赵磊</t>
        </is>
      </c>
    </row>
    <row r="88">
      <c r="A88" s="6" t="n">
        <v>46036</v>
      </c>
      <c r="B88" s="2" t="inlineStr">
        <is>
          <t>销售部</t>
        </is>
      </c>
      <c r="C88" s="2" t="inlineStr">
        <is>
          <t>差旅</t>
        </is>
      </c>
      <c r="D88" s="3" t="n">
        <v>6842.97</v>
      </c>
      <c r="E88" s="2" t="inlineStr">
        <is>
          <t>赵磊</t>
        </is>
      </c>
    </row>
    <row r="89">
      <c r="A89" s="6" t="n">
        <v>46180</v>
      </c>
      <c r="B89" s="2" t="inlineStr">
        <is>
          <t>财务部</t>
        </is>
      </c>
      <c r="C89" s="2" t="inlineStr">
        <is>
          <t>办公</t>
        </is>
      </c>
      <c r="D89" s="3" t="n">
        <v>8395.35</v>
      </c>
      <c r="E89" s="2" t="inlineStr">
        <is>
          <t>陈静</t>
        </is>
      </c>
    </row>
    <row r="90">
      <c r="A90" s="6" t="n">
        <v>46158</v>
      </c>
      <c r="B90" s="2" t="inlineStr">
        <is>
          <t>销售部</t>
        </is>
      </c>
      <c r="C90" s="2" t="inlineStr">
        <is>
          <t>招待</t>
        </is>
      </c>
      <c r="D90" s="3" t="n">
        <v>8404.559999999999</v>
      </c>
      <c r="E90" s="2" t="inlineStr">
        <is>
          <t>李强</t>
        </is>
      </c>
    </row>
    <row r="91">
      <c r="A91" s="6" t="n">
        <v>46074</v>
      </c>
      <c r="B91" s="2" t="inlineStr">
        <is>
          <t>行政部</t>
        </is>
      </c>
      <c r="C91" s="2" t="inlineStr">
        <is>
          <t>差旅</t>
        </is>
      </c>
      <c r="D91" s="3" t="n">
        <v>5562.51</v>
      </c>
      <c r="E91" s="2" t="inlineStr">
        <is>
          <t>赵磊</t>
        </is>
      </c>
    </row>
    <row r="92">
      <c r="A92" s="6" t="n">
        <v>46176</v>
      </c>
      <c r="B92" s="2" t="inlineStr">
        <is>
          <t>市场部</t>
        </is>
      </c>
      <c r="C92" s="2" t="inlineStr">
        <is>
          <t>软件</t>
        </is>
      </c>
      <c r="D92" s="3" t="n">
        <v>8424.92</v>
      </c>
      <c r="E92" s="2" t="inlineStr">
        <is>
          <t>陈静</t>
        </is>
      </c>
    </row>
    <row r="93">
      <c r="A93" s="6" t="n">
        <v>46068</v>
      </c>
      <c r="B93" s="2" t="inlineStr">
        <is>
          <t>研发部</t>
        </is>
      </c>
      <c r="C93" s="2" t="inlineStr">
        <is>
          <t>办公</t>
        </is>
      </c>
      <c r="D93" s="3" t="n">
        <v>10796.19</v>
      </c>
      <c r="E93" s="2" t="inlineStr">
        <is>
          <t>王敏</t>
        </is>
      </c>
    </row>
    <row r="94">
      <c r="A94" s="6" t="n">
        <v>46044</v>
      </c>
      <c r="B94" s="2" t="inlineStr">
        <is>
          <t>市场部</t>
        </is>
      </c>
      <c r="C94" s="2" t="inlineStr">
        <is>
          <t>招待</t>
        </is>
      </c>
      <c r="D94" s="3" t="n">
        <v>9417.200000000001</v>
      </c>
      <c r="E94" s="2" t="inlineStr">
        <is>
          <t>孙悦</t>
        </is>
      </c>
    </row>
    <row r="95">
      <c r="A95" s="6" t="n">
        <v>46134</v>
      </c>
      <c r="B95" s="2" t="inlineStr">
        <is>
          <t>行政部</t>
        </is>
      </c>
      <c r="C95" s="2" t="inlineStr">
        <is>
          <t>差旅</t>
        </is>
      </c>
      <c r="D95" s="3" t="n">
        <v>10337.12</v>
      </c>
      <c r="E95" s="2" t="inlineStr">
        <is>
          <t>孙悦</t>
        </is>
      </c>
    </row>
    <row r="96">
      <c r="A96" s="6" t="n">
        <v>46085</v>
      </c>
      <c r="B96" s="2" t="inlineStr">
        <is>
          <t>行政部</t>
        </is>
      </c>
      <c r="C96" s="2" t="inlineStr">
        <is>
          <t>软件</t>
        </is>
      </c>
      <c r="D96" s="3" t="n">
        <v>2122.5</v>
      </c>
      <c r="E96" s="2" t="inlineStr">
        <is>
          <t>孙悦</t>
        </is>
      </c>
    </row>
    <row r="97">
      <c r="A97" s="6" t="n">
        <v>46117</v>
      </c>
      <c r="B97" s="2" t="inlineStr">
        <is>
          <t>市场部</t>
        </is>
      </c>
      <c r="C97" s="2" t="inlineStr">
        <is>
          <t>软件</t>
        </is>
      </c>
      <c r="D97" s="3" t="n">
        <v>7429.62</v>
      </c>
      <c r="E97" s="2" t="inlineStr">
        <is>
          <t>王敏</t>
        </is>
      </c>
    </row>
    <row r="98">
      <c r="A98" s="6" t="n">
        <v>46196</v>
      </c>
      <c r="B98" s="2" t="inlineStr">
        <is>
          <t>市场部</t>
        </is>
      </c>
      <c r="C98" s="2" t="inlineStr">
        <is>
          <t>办公</t>
        </is>
      </c>
      <c r="D98" s="3" t="n">
        <v>6311.56</v>
      </c>
      <c r="E98" s="2" t="inlineStr">
        <is>
          <t>孙悦</t>
        </is>
      </c>
    </row>
    <row r="99">
      <c r="A99" s="6" t="n">
        <v>46031</v>
      </c>
      <c r="B99" s="2" t="inlineStr">
        <is>
          <t>财务部</t>
        </is>
      </c>
      <c r="C99" s="2" t="inlineStr">
        <is>
          <t>招待</t>
        </is>
      </c>
      <c r="D99" s="3" t="n">
        <v>3258.4</v>
      </c>
      <c r="E99" s="2" t="inlineStr">
        <is>
          <t>赵磊</t>
        </is>
      </c>
    </row>
    <row r="100">
      <c r="A100" s="6" t="n">
        <v>46075</v>
      </c>
      <c r="B100" s="2" t="inlineStr">
        <is>
          <t>行政部</t>
        </is>
      </c>
      <c r="C100" s="2" t="inlineStr">
        <is>
          <t>招待</t>
        </is>
      </c>
      <c r="D100" s="3" t="n">
        <v>4309.16</v>
      </c>
      <c r="E100" s="2" t="inlineStr">
        <is>
          <t>王敏</t>
        </is>
      </c>
    </row>
    <row r="101">
      <c r="A101" s="6" t="n">
        <v>46042</v>
      </c>
      <c r="B101" s="2" t="inlineStr">
        <is>
          <t>销售部</t>
        </is>
      </c>
      <c r="C101" s="2" t="inlineStr">
        <is>
          <t>培训</t>
        </is>
      </c>
      <c r="D101" s="3" t="n">
        <v>8913.66</v>
      </c>
      <c r="E101" s="2" t="inlineStr">
        <is>
          <t>孙悦</t>
        </is>
      </c>
    </row>
    <row r="102">
      <c r="A102" s="6" t="n">
        <v>46137</v>
      </c>
      <c r="B102" s="2" t="inlineStr">
        <is>
          <t>行政部</t>
        </is>
      </c>
      <c r="C102" s="2" t="inlineStr">
        <is>
          <t>差旅</t>
        </is>
      </c>
      <c r="D102" s="3" t="n">
        <v>2481.81</v>
      </c>
      <c r="E102" s="2" t="inlineStr">
        <is>
          <t>陈静</t>
        </is>
      </c>
    </row>
    <row r="103">
      <c r="A103" s="6" t="n">
        <v>46182</v>
      </c>
      <c r="B103" s="2" t="inlineStr">
        <is>
          <t>行政部</t>
        </is>
      </c>
      <c r="C103" s="2" t="inlineStr">
        <is>
          <t>办公</t>
        </is>
      </c>
      <c r="D103" s="3" t="n">
        <v>5230.3</v>
      </c>
      <c r="E103" s="2" t="inlineStr">
        <is>
          <t>李强</t>
        </is>
      </c>
    </row>
    <row r="104">
      <c r="A104" s="6" t="n">
        <v>46189</v>
      </c>
      <c r="B104" s="2" t="inlineStr">
        <is>
          <t>市场部</t>
        </is>
      </c>
      <c r="C104" s="2" t="inlineStr">
        <is>
          <t>软件</t>
        </is>
      </c>
      <c r="D104" s="3" t="n">
        <v>2927.41</v>
      </c>
      <c r="E104" s="2" t="inlineStr">
        <is>
          <t>赵磊</t>
        </is>
      </c>
    </row>
    <row r="105">
      <c r="A105" s="6" t="n">
        <v>46115</v>
      </c>
      <c r="B105" s="2" t="inlineStr">
        <is>
          <t>财务部</t>
        </is>
      </c>
      <c r="C105" s="2" t="inlineStr">
        <is>
          <t>培训</t>
        </is>
      </c>
      <c r="D105" s="3" t="n">
        <v>5865.49</v>
      </c>
      <c r="E105" s="2" t="inlineStr">
        <is>
          <t>赵磊</t>
        </is>
      </c>
    </row>
    <row r="106">
      <c r="A106" s="6" t="n">
        <v>46132</v>
      </c>
      <c r="B106" s="2" t="inlineStr">
        <is>
          <t>财务部</t>
        </is>
      </c>
      <c r="C106" s="2" t="inlineStr">
        <is>
          <t>软件</t>
        </is>
      </c>
      <c r="D106" s="3" t="n">
        <v>10772.91</v>
      </c>
      <c r="E106" s="2" t="inlineStr">
        <is>
          <t>赵磊</t>
        </is>
      </c>
    </row>
    <row r="107">
      <c r="A107" s="6" t="n">
        <v>46120</v>
      </c>
      <c r="B107" s="2" t="inlineStr">
        <is>
          <t>研发部</t>
        </is>
      </c>
      <c r="C107" s="2" t="inlineStr">
        <is>
          <t>差旅</t>
        </is>
      </c>
      <c r="D107" s="3" t="n">
        <v>2300.2</v>
      </c>
      <c r="E107" s="2" t="inlineStr">
        <is>
          <t>王敏</t>
        </is>
      </c>
    </row>
    <row r="108">
      <c r="A108" s="6" t="n">
        <v>46038</v>
      </c>
      <c r="B108" s="2" t="inlineStr">
        <is>
          <t>销售部</t>
        </is>
      </c>
      <c r="C108" s="2" t="inlineStr">
        <is>
          <t>招待</t>
        </is>
      </c>
      <c r="D108" s="3" t="n">
        <v>11987.76</v>
      </c>
      <c r="E108" s="2" t="inlineStr">
        <is>
          <t>李强</t>
        </is>
      </c>
    </row>
    <row r="109">
      <c r="A109" s="6" t="n">
        <v>46125</v>
      </c>
      <c r="B109" s="2" t="inlineStr">
        <is>
          <t>销售部</t>
        </is>
      </c>
      <c r="C109" s="2" t="inlineStr">
        <is>
          <t>培训</t>
        </is>
      </c>
      <c r="D109" s="3" t="n">
        <v>7219.52</v>
      </c>
      <c r="E109" s="2" t="inlineStr">
        <is>
          <t>孙悦</t>
        </is>
      </c>
    </row>
    <row r="110">
      <c r="A110" s="6" t="n">
        <v>46062</v>
      </c>
      <c r="B110" s="2" t="inlineStr">
        <is>
          <t>市场部</t>
        </is>
      </c>
      <c r="C110" s="2" t="inlineStr">
        <is>
          <t>软件</t>
        </is>
      </c>
      <c r="D110" s="3" t="n">
        <v>7145.73</v>
      </c>
      <c r="E110" s="2" t="inlineStr">
        <is>
          <t>孙悦</t>
        </is>
      </c>
    </row>
    <row r="111">
      <c r="A111" s="6" t="n">
        <v>46163</v>
      </c>
      <c r="B111" s="2" t="inlineStr">
        <is>
          <t>市场部</t>
        </is>
      </c>
      <c r="C111" s="2" t="inlineStr">
        <is>
          <t>办公</t>
        </is>
      </c>
      <c r="D111" s="3" t="n">
        <v>7391.42</v>
      </c>
      <c r="E111" s="2" t="inlineStr">
        <is>
          <t>陈静</t>
        </is>
      </c>
    </row>
    <row r="112">
      <c r="A112" s="6" t="n">
        <v>46026</v>
      </c>
      <c r="B112" s="2" t="inlineStr">
        <is>
          <t>财务部</t>
        </is>
      </c>
      <c r="C112" s="2" t="inlineStr">
        <is>
          <t>软件</t>
        </is>
      </c>
      <c r="D112" s="3" t="n">
        <v>4318.94</v>
      </c>
      <c r="E112" s="2" t="inlineStr">
        <is>
          <t>陈静</t>
        </is>
      </c>
    </row>
    <row r="113">
      <c r="A113" s="6" t="n">
        <v>46193</v>
      </c>
      <c r="B113" s="2" t="inlineStr">
        <is>
          <t>财务部</t>
        </is>
      </c>
      <c r="C113" s="2" t="inlineStr">
        <is>
          <t>招待</t>
        </is>
      </c>
      <c r="D113" s="3" t="n">
        <v>5142.67</v>
      </c>
      <c r="E113" s="2" t="inlineStr">
        <is>
          <t>李强</t>
        </is>
      </c>
    </row>
    <row r="114">
      <c r="A114" s="6" t="n">
        <v>46120</v>
      </c>
      <c r="B114" s="2" t="inlineStr">
        <is>
          <t>财务部</t>
        </is>
      </c>
      <c r="C114" s="2" t="inlineStr">
        <is>
          <t>招待</t>
        </is>
      </c>
      <c r="D114" s="3" t="n">
        <v>7999.77</v>
      </c>
      <c r="E114" s="2" t="inlineStr">
        <is>
          <t>孙悦</t>
        </is>
      </c>
    </row>
    <row r="115">
      <c r="A115" s="6" t="n">
        <v>46187</v>
      </c>
      <c r="B115" s="2" t="inlineStr">
        <is>
          <t>市场部</t>
        </is>
      </c>
      <c r="C115" s="2" t="inlineStr">
        <is>
          <t>办公</t>
        </is>
      </c>
      <c r="D115" s="3" t="n">
        <v>840.9299999999999</v>
      </c>
      <c r="E115" s="2" t="inlineStr">
        <is>
          <t>李强</t>
        </is>
      </c>
    </row>
    <row r="116">
      <c r="A116" s="6" t="n">
        <v>46117</v>
      </c>
      <c r="B116" s="2" t="inlineStr">
        <is>
          <t>财务部</t>
        </is>
      </c>
      <c r="C116" s="2" t="inlineStr">
        <is>
          <t>招待</t>
        </is>
      </c>
      <c r="D116" s="3" t="n">
        <v>2501.24</v>
      </c>
      <c r="E116" s="2" t="inlineStr">
        <is>
          <t>王敏</t>
        </is>
      </c>
    </row>
    <row r="117">
      <c r="A117" s="6" t="n">
        <v>46090</v>
      </c>
      <c r="B117" s="2" t="inlineStr">
        <is>
          <t>销售部</t>
        </is>
      </c>
      <c r="C117" s="2" t="inlineStr">
        <is>
          <t>培训</t>
        </is>
      </c>
      <c r="D117" s="3" t="n">
        <v>7219.37</v>
      </c>
      <c r="E117" s="2" t="inlineStr">
        <is>
          <t>李强</t>
        </is>
      </c>
    </row>
    <row r="118">
      <c r="A118" s="6" t="n">
        <v>46174</v>
      </c>
      <c r="B118" s="2" t="inlineStr">
        <is>
          <t>财务部</t>
        </is>
      </c>
      <c r="C118" s="2" t="inlineStr">
        <is>
          <t>培训</t>
        </is>
      </c>
      <c r="D118" s="3" t="n">
        <v>2181.77</v>
      </c>
      <c r="E118" s="2" t="inlineStr">
        <is>
          <t>李强</t>
        </is>
      </c>
    </row>
    <row r="119">
      <c r="A119" s="6" t="n">
        <v>46140</v>
      </c>
      <c r="B119" s="2" t="inlineStr">
        <is>
          <t>销售部</t>
        </is>
      </c>
      <c r="C119" s="2" t="inlineStr">
        <is>
          <t>招待</t>
        </is>
      </c>
      <c r="D119" s="3" t="n">
        <v>9376.200000000001</v>
      </c>
      <c r="E119" s="2" t="inlineStr">
        <is>
          <t>陈静</t>
        </is>
      </c>
    </row>
    <row r="120">
      <c r="A120" s="6" t="n">
        <v>46067</v>
      </c>
      <c r="B120" s="2" t="inlineStr">
        <is>
          <t>销售部</t>
        </is>
      </c>
      <c r="C120" s="2" t="inlineStr">
        <is>
          <t>软件</t>
        </is>
      </c>
      <c r="D120" s="3" t="n">
        <v>1574.33</v>
      </c>
      <c r="E120" s="2" t="inlineStr">
        <is>
          <t>李强</t>
        </is>
      </c>
    </row>
    <row r="121">
      <c r="A121" s="6" t="n">
        <v>46070</v>
      </c>
      <c r="B121" s="2" t="inlineStr">
        <is>
          <t>销售部</t>
        </is>
      </c>
      <c r="C121" s="2" t="inlineStr">
        <is>
          <t>差旅</t>
        </is>
      </c>
      <c r="D121" s="3" t="n">
        <v>7204.19</v>
      </c>
      <c r="E121" s="2" t="inlineStr">
        <is>
          <t>李强</t>
        </is>
      </c>
    </row>
    <row r="122">
      <c r="A122" s="6" t="n">
        <v>46184</v>
      </c>
      <c r="B122" s="2" t="inlineStr">
        <is>
          <t>财务部</t>
        </is>
      </c>
      <c r="C122" s="2" t="inlineStr">
        <is>
          <t>招待</t>
        </is>
      </c>
      <c r="D122" s="3" t="n">
        <v>6728.2</v>
      </c>
      <c r="E122" s="2" t="inlineStr">
        <is>
          <t>孙悦</t>
        </is>
      </c>
    </row>
    <row r="123">
      <c r="A123" s="6" t="n">
        <v>46078</v>
      </c>
      <c r="B123" s="2" t="inlineStr">
        <is>
          <t>市场部</t>
        </is>
      </c>
      <c r="C123" s="2" t="inlineStr">
        <is>
          <t>培训</t>
        </is>
      </c>
      <c r="D123" s="3" t="n">
        <v>7954.62</v>
      </c>
      <c r="E123" s="2" t="inlineStr">
        <is>
          <t>王敏</t>
        </is>
      </c>
    </row>
    <row r="124">
      <c r="A124" s="6" t="n">
        <v>46082</v>
      </c>
      <c r="B124" s="2" t="inlineStr">
        <is>
          <t>财务部</t>
        </is>
      </c>
      <c r="C124" s="2" t="inlineStr">
        <is>
          <t>差旅</t>
        </is>
      </c>
      <c r="D124" s="3" t="n">
        <v>11022.41</v>
      </c>
      <c r="E124" s="2" t="inlineStr">
        <is>
          <t>王敏</t>
        </is>
      </c>
    </row>
    <row r="125">
      <c r="A125" s="6" t="n">
        <v>46198</v>
      </c>
      <c r="B125" s="2" t="inlineStr">
        <is>
          <t>市场部</t>
        </is>
      </c>
      <c r="C125" s="2" t="inlineStr">
        <is>
          <t>办公</t>
        </is>
      </c>
      <c r="D125" s="3" t="n">
        <v>11612.55</v>
      </c>
      <c r="E125" s="2" t="inlineStr">
        <is>
          <t>李强</t>
        </is>
      </c>
    </row>
    <row r="126">
      <c r="A126" s="6" t="n">
        <v>46170</v>
      </c>
      <c r="B126" s="2" t="inlineStr">
        <is>
          <t>市场部</t>
        </is>
      </c>
      <c r="C126" s="2" t="inlineStr">
        <is>
          <t>办公</t>
        </is>
      </c>
      <c r="D126" s="3" t="n">
        <v>9713.280000000001</v>
      </c>
      <c r="E126" s="2" t="inlineStr">
        <is>
          <t>赵磊</t>
        </is>
      </c>
    </row>
    <row r="127">
      <c r="A127" s="6" t="n">
        <v>46165</v>
      </c>
      <c r="B127" s="2" t="inlineStr">
        <is>
          <t>行政部</t>
        </is>
      </c>
      <c r="C127" s="2" t="inlineStr">
        <is>
          <t>差旅</t>
        </is>
      </c>
      <c r="D127" s="3" t="n">
        <v>4045.79</v>
      </c>
      <c r="E127" s="2" t="inlineStr">
        <is>
          <t>孙悦</t>
        </is>
      </c>
    </row>
    <row r="128">
      <c r="A128" s="6" t="n">
        <v>46161</v>
      </c>
      <c r="B128" s="2" t="inlineStr">
        <is>
          <t>财务部</t>
        </is>
      </c>
      <c r="C128" s="2" t="inlineStr">
        <is>
          <t>差旅</t>
        </is>
      </c>
      <c r="D128" s="3" t="n">
        <v>1914.82</v>
      </c>
      <c r="E128" s="2" t="inlineStr">
        <is>
          <t>赵磊</t>
        </is>
      </c>
    </row>
    <row r="129">
      <c r="A129" s="6" t="n">
        <v>46057</v>
      </c>
      <c r="B129" s="2" t="inlineStr">
        <is>
          <t>财务部</t>
        </is>
      </c>
      <c r="C129" s="2" t="inlineStr">
        <is>
          <t>软件</t>
        </is>
      </c>
      <c r="D129" s="3" t="n">
        <v>325.5</v>
      </c>
      <c r="E129" s="2" t="inlineStr">
        <is>
          <t>王敏</t>
        </is>
      </c>
    </row>
    <row r="130">
      <c r="A130" s="6" t="n">
        <v>46164</v>
      </c>
      <c r="B130" s="2" t="inlineStr">
        <is>
          <t>销售部</t>
        </is>
      </c>
      <c r="C130" s="2" t="inlineStr">
        <is>
          <t>差旅</t>
        </is>
      </c>
      <c r="D130" s="3" t="n">
        <v>8256.110000000001</v>
      </c>
      <c r="E130" s="2" t="inlineStr">
        <is>
          <t>李强</t>
        </is>
      </c>
    </row>
    <row r="131">
      <c r="A131" s="6" t="n">
        <v>46184</v>
      </c>
      <c r="B131" s="2" t="inlineStr">
        <is>
          <t>销售部</t>
        </is>
      </c>
      <c r="C131" s="2" t="inlineStr">
        <is>
          <t>办公</t>
        </is>
      </c>
      <c r="D131" s="3" t="n">
        <v>711.97</v>
      </c>
      <c r="E131" s="2" t="inlineStr">
        <is>
          <t>赵磊</t>
        </is>
      </c>
    </row>
    <row r="132">
      <c r="A132" s="6" t="n">
        <v>46036</v>
      </c>
      <c r="B132" s="2" t="inlineStr">
        <is>
          <t>行政部</t>
        </is>
      </c>
      <c r="C132" s="2" t="inlineStr">
        <is>
          <t>办公</t>
        </is>
      </c>
      <c r="D132" s="3" t="n">
        <v>9172.280000000001</v>
      </c>
      <c r="E132" s="2" t="inlineStr">
        <is>
          <t>李强</t>
        </is>
      </c>
    </row>
    <row r="133">
      <c r="A133" s="6" t="n">
        <v>46080</v>
      </c>
      <c r="B133" s="2" t="inlineStr">
        <is>
          <t>市场部</t>
        </is>
      </c>
      <c r="C133" s="2" t="inlineStr">
        <is>
          <t>招待</t>
        </is>
      </c>
      <c r="D133" s="3" t="n">
        <v>9419.59</v>
      </c>
      <c r="E133" s="2" t="inlineStr">
        <is>
          <t>孙悦</t>
        </is>
      </c>
    </row>
    <row r="134">
      <c r="A134" s="6" t="n">
        <v>46151</v>
      </c>
      <c r="B134" s="2" t="inlineStr">
        <is>
          <t>研发部</t>
        </is>
      </c>
      <c r="C134" s="2" t="inlineStr">
        <is>
          <t>办公</t>
        </is>
      </c>
      <c r="D134" s="3" t="n">
        <v>11266.51</v>
      </c>
      <c r="E134" s="2" t="inlineStr">
        <is>
          <t>陈静</t>
        </is>
      </c>
    </row>
    <row r="135">
      <c r="A135" s="6" t="n">
        <v>46060</v>
      </c>
      <c r="B135" s="2" t="inlineStr">
        <is>
          <t>行政部</t>
        </is>
      </c>
      <c r="C135" s="2" t="inlineStr">
        <is>
          <t>软件</t>
        </is>
      </c>
      <c r="D135" s="3" t="n">
        <v>4068.29</v>
      </c>
      <c r="E135" s="2" t="inlineStr">
        <is>
          <t>赵磊</t>
        </is>
      </c>
    </row>
    <row r="136">
      <c r="A136" s="6" t="n">
        <v>46055</v>
      </c>
      <c r="B136" s="2" t="inlineStr">
        <is>
          <t>财务部</t>
        </is>
      </c>
      <c r="C136" s="2" t="inlineStr">
        <is>
          <t>差旅</t>
        </is>
      </c>
      <c r="D136" s="3" t="n">
        <v>3769.41</v>
      </c>
      <c r="E136" s="2" t="inlineStr">
        <is>
          <t>陈静</t>
        </is>
      </c>
    </row>
    <row r="137">
      <c r="A137" s="6" t="n">
        <v>46025</v>
      </c>
      <c r="B137" s="2" t="inlineStr">
        <is>
          <t>研发部</t>
        </is>
      </c>
      <c r="C137" s="2" t="inlineStr">
        <is>
          <t>办公</t>
        </is>
      </c>
      <c r="D137" s="3" t="n">
        <v>5420.76</v>
      </c>
      <c r="E137" s="2" t="inlineStr">
        <is>
          <t>李强</t>
        </is>
      </c>
    </row>
    <row r="138">
      <c r="A138" s="6" t="n">
        <v>46143</v>
      </c>
      <c r="B138" s="2" t="inlineStr">
        <is>
          <t>销售部</t>
        </is>
      </c>
      <c r="C138" s="2" t="inlineStr">
        <is>
          <t>培训</t>
        </is>
      </c>
      <c r="D138" s="3" t="n">
        <v>2672.04</v>
      </c>
      <c r="E138" s="2" t="inlineStr">
        <is>
          <t>李强</t>
        </is>
      </c>
    </row>
    <row r="139">
      <c r="A139" s="6" t="n">
        <v>46038</v>
      </c>
      <c r="B139" s="2" t="inlineStr">
        <is>
          <t>销售部</t>
        </is>
      </c>
      <c r="C139" s="2" t="inlineStr">
        <is>
          <t>软件</t>
        </is>
      </c>
      <c r="D139" s="3" t="n">
        <v>9941.870000000001</v>
      </c>
      <c r="E139" s="2" t="inlineStr">
        <is>
          <t>陈静</t>
        </is>
      </c>
    </row>
    <row r="140">
      <c r="A140" s="6" t="n">
        <v>46058</v>
      </c>
      <c r="B140" s="2" t="inlineStr">
        <is>
          <t>研发部</t>
        </is>
      </c>
      <c r="C140" s="2" t="inlineStr">
        <is>
          <t>招待</t>
        </is>
      </c>
      <c r="D140" s="3" t="n">
        <v>9099.23</v>
      </c>
      <c r="E140" s="2" t="inlineStr">
        <is>
          <t>孙悦</t>
        </is>
      </c>
    </row>
    <row r="141">
      <c r="A141" s="6" t="n">
        <v>46114</v>
      </c>
      <c r="B141" s="2" t="inlineStr">
        <is>
          <t>销售部</t>
        </is>
      </c>
      <c r="C141" s="2" t="inlineStr">
        <is>
          <t>培训</t>
        </is>
      </c>
      <c r="D141" s="3" t="n">
        <v>6851.22</v>
      </c>
      <c r="E141" s="2" t="inlineStr">
        <is>
          <t>李强</t>
        </is>
      </c>
    </row>
    <row r="142">
      <c r="A142" s="6" t="n">
        <v>46092</v>
      </c>
      <c r="B142" s="2" t="inlineStr">
        <is>
          <t>销售部</t>
        </is>
      </c>
      <c r="C142" s="2" t="inlineStr">
        <is>
          <t>软件</t>
        </is>
      </c>
      <c r="D142" s="3" t="n">
        <v>3496.06</v>
      </c>
      <c r="E142" s="2" t="inlineStr">
        <is>
          <t>李强</t>
        </is>
      </c>
    </row>
    <row r="143">
      <c r="A143" s="6" t="n">
        <v>46033</v>
      </c>
      <c r="B143" s="2" t="inlineStr">
        <is>
          <t>市场部</t>
        </is>
      </c>
      <c r="C143" s="2" t="inlineStr">
        <is>
          <t>培训</t>
        </is>
      </c>
      <c r="D143" s="3" t="n">
        <v>4601.13</v>
      </c>
      <c r="E143" s="2" t="inlineStr">
        <is>
          <t>孙悦</t>
        </is>
      </c>
    </row>
    <row r="144">
      <c r="A144" s="6" t="n">
        <v>46189</v>
      </c>
      <c r="B144" s="2" t="inlineStr">
        <is>
          <t>财务部</t>
        </is>
      </c>
      <c r="C144" s="2" t="inlineStr">
        <is>
          <t>招待</t>
        </is>
      </c>
      <c r="D144" s="3" t="n">
        <v>2099.35</v>
      </c>
      <c r="E144" s="2" t="inlineStr">
        <is>
          <t>陈静</t>
        </is>
      </c>
    </row>
    <row r="145">
      <c r="A145" s="6" t="n">
        <v>46127</v>
      </c>
      <c r="B145" s="2" t="inlineStr">
        <is>
          <t>财务部</t>
        </is>
      </c>
      <c r="C145" s="2" t="inlineStr">
        <is>
          <t>培训</t>
        </is>
      </c>
      <c r="D145" s="3" t="n">
        <v>8443.49</v>
      </c>
      <c r="E145" s="2" t="inlineStr">
        <is>
          <t>赵磊</t>
        </is>
      </c>
    </row>
    <row r="146">
      <c r="A146" s="6" t="n">
        <v>46079</v>
      </c>
      <c r="B146" s="2" t="inlineStr">
        <is>
          <t>销售部</t>
        </is>
      </c>
      <c r="C146" s="2" t="inlineStr">
        <is>
          <t>招待</t>
        </is>
      </c>
      <c r="D146" s="3" t="n">
        <v>2083.63</v>
      </c>
      <c r="E146" s="2" t="inlineStr">
        <is>
          <t>王敏</t>
        </is>
      </c>
    </row>
    <row r="147">
      <c r="A147" s="6" t="n">
        <v>46096</v>
      </c>
      <c r="B147" s="2" t="inlineStr">
        <is>
          <t>研发部</t>
        </is>
      </c>
      <c r="C147" s="2" t="inlineStr">
        <is>
          <t>培训</t>
        </is>
      </c>
      <c r="D147" s="3" t="n">
        <v>1289.34</v>
      </c>
      <c r="E147" s="2" t="inlineStr">
        <is>
          <t>赵磊</t>
        </is>
      </c>
    </row>
    <row r="148">
      <c r="A148" s="6" t="n">
        <v>46085</v>
      </c>
      <c r="B148" s="2" t="inlineStr">
        <is>
          <t>行政部</t>
        </is>
      </c>
      <c r="C148" s="2" t="inlineStr">
        <is>
          <t>差旅</t>
        </is>
      </c>
      <c r="D148" s="3" t="n">
        <v>8531.620000000001</v>
      </c>
      <c r="E148" s="2" t="inlineStr">
        <is>
          <t>赵磊</t>
        </is>
      </c>
    </row>
    <row r="149">
      <c r="A149" s="6" t="n">
        <v>46119</v>
      </c>
      <c r="B149" s="2" t="inlineStr">
        <is>
          <t>财务部</t>
        </is>
      </c>
      <c r="C149" s="2" t="inlineStr">
        <is>
          <t>办公</t>
        </is>
      </c>
      <c r="D149" s="3" t="n">
        <v>4450.46</v>
      </c>
      <c r="E149" s="2" t="inlineStr">
        <is>
          <t>陈静</t>
        </is>
      </c>
    </row>
    <row r="150">
      <c r="A150" s="6" t="n">
        <v>46045</v>
      </c>
      <c r="B150" s="2" t="inlineStr">
        <is>
          <t>研发部</t>
        </is>
      </c>
      <c r="C150" s="2" t="inlineStr">
        <is>
          <t>培训</t>
        </is>
      </c>
      <c r="D150" s="3" t="n">
        <v>3810.84</v>
      </c>
      <c r="E150" s="2" t="inlineStr">
        <is>
          <t>陈静</t>
        </is>
      </c>
    </row>
    <row r="151">
      <c r="A151" s="6" t="n">
        <v>46117</v>
      </c>
      <c r="B151" s="2" t="inlineStr">
        <is>
          <t>研发部</t>
        </is>
      </c>
      <c r="C151" s="2" t="inlineStr">
        <is>
          <t>培训</t>
        </is>
      </c>
      <c r="D151" s="3" t="n">
        <v>1675.57</v>
      </c>
      <c r="E151" s="2" t="inlineStr">
        <is>
          <t>陈静</t>
        </is>
      </c>
    </row>
    <row r="152">
      <c r="A152" s="6" t="n">
        <v>46063</v>
      </c>
      <c r="B152" s="2" t="inlineStr">
        <is>
          <t>销售部</t>
        </is>
      </c>
      <c r="C152" s="2" t="inlineStr">
        <is>
          <t>办公</t>
        </is>
      </c>
      <c r="D152" s="3" t="n">
        <v>2543.87</v>
      </c>
      <c r="E152" s="2" t="inlineStr">
        <is>
          <t>孙悦</t>
        </is>
      </c>
    </row>
    <row r="153">
      <c r="A153" s="6" t="n">
        <v>46104</v>
      </c>
      <c r="B153" s="2" t="inlineStr">
        <is>
          <t>财务部</t>
        </is>
      </c>
      <c r="C153" s="2" t="inlineStr">
        <is>
          <t>办公</t>
        </is>
      </c>
      <c r="D153" s="3" t="n">
        <v>5578.31</v>
      </c>
      <c r="E153" s="2" t="inlineStr">
        <is>
          <t>王敏</t>
        </is>
      </c>
    </row>
    <row r="154">
      <c r="A154" s="6" t="n">
        <v>46071</v>
      </c>
      <c r="B154" s="2" t="inlineStr">
        <is>
          <t>行政部</t>
        </is>
      </c>
      <c r="C154" s="2" t="inlineStr">
        <is>
          <t>招待</t>
        </is>
      </c>
      <c r="D154" s="3" t="n">
        <v>4565.39</v>
      </c>
      <c r="E154" s="2" t="inlineStr">
        <is>
          <t>赵磊</t>
        </is>
      </c>
    </row>
    <row r="155">
      <c r="A155" s="6" t="n">
        <v>46123</v>
      </c>
      <c r="B155" s="2" t="inlineStr">
        <is>
          <t>行政部</t>
        </is>
      </c>
      <c r="C155" s="2" t="inlineStr">
        <is>
          <t>办公</t>
        </is>
      </c>
      <c r="D155" s="3" t="n">
        <v>11671.06</v>
      </c>
      <c r="E155" s="2" t="inlineStr">
        <is>
          <t>孙悦</t>
        </is>
      </c>
    </row>
    <row r="156">
      <c r="A156" s="6" t="n">
        <v>46025</v>
      </c>
      <c r="B156" s="2" t="inlineStr">
        <is>
          <t>行政部</t>
        </is>
      </c>
      <c r="C156" s="2" t="inlineStr">
        <is>
          <t>差旅</t>
        </is>
      </c>
      <c r="D156" s="3" t="n">
        <v>117.4</v>
      </c>
      <c r="E156" s="2" t="inlineStr">
        <is>
          <t>赵磊</t>
        </is>
      </c>
    </row>
    <row r="157">
      <c r="A157" s="6" t="n">
        <v>46184</v>
      </c>
      <c r="B157" s="2" t="inlineStr">
        <is>
          <t>财务部</t>
        </is>
      </c>
      <c r="C157" s="2" t="inlineStr">
        <is>
          <t>招待</t>
        </is>
      </c>
      <c r="D157" s="3" t="n">
        <v>7512.25</v>
      </c>
      <c r="E157" s="2" t="inlineStr">
        <is>
          <t>陈静</t>
        </is>
      </c>
    </row>
    <row r="158">
      <c r="A158" s="6" t="n">
        <v>46058</v>
      </c>
      <c r="B158" s="2" t="inlineStr">
        <is>
          <t>市场部</t>
        </is>
      </c>
      <c r="C158" s="2" t="inlineStr">
        <is>
          <t>办公</t>
        </is>
      </c>
      <c r="D158" s="3" t="n">
        <v>5822.46</v>
      </c>
      <c r="E158" s="2" t="inlineStr">
        <is>
          <t>赵磊</t>
        </is>
      </c>
    </row>
    <row r="159">
      <c r="A159" s="6" t="n">
        <v>46175</v>
      </c>
      <c r="B159" s="2" t="inlineStr">
        <is>
          <t>研发部</t>
        </is>
      </c>
      <c r="C159" s="2" t="inlineStr">
        <is>
          <t>办公</t>
        </is>
      </c>
      <c r="D159" s="3" t="n">
        <v>2584.86</v>
      </c>
      <c r="E159" s="2" t="inlineStr">
        <is>
          <t>王敏</t>
        </is>
      </c>
    </row>
    <row r="160">
      <c r="A160" s="6" t="n">
        <v>46028</v>
      </c>
      <c r="B160" s="2" t="inlineStr">
        <is>
          <t>销售部</t>
        </is>
      </c>
      <c r="C160" s="2" t="inlineStr">
        <is>
          <t>招待</t>
        </is>
      </c>
      <c r="D160" s="3" t="n">
        <v>7694.07</v>
      </c>
      <c r="E160" s="2" t="inlineStr">
        <is>
          <t>孙悦</t>
        </is>
      </c>
    </row>
    <row r="161">
      <c r="A161" s="6" t="n">
        <v>46059</v>
      </c>
      <c r="B161" s="2" t="inlineStr">
        <is>
          <t>销售部</t>
        </is>
      </c>
      <c r="C161" s="2" t="inlineStr">
        <is>
          <t>培训</t>
        </is>
      </c>
      <c r="D161" s="3" t="n">
        <v>7708.73</v>
      </c>
      <c r="E161" s="2" t="inlineStr">
        <is>
          <t>赵磊</t>
        </is>
      </c>
    </row>
    <row r="162">
      <c r="A162" s="6" t="n">
        <v>46046</v>
      </c>
      <c r="B162" s="2" t="inlineStr">
        <is>
          <t>财务部</t>
        </is>
      </c>
      <c r="C162" s="2" t="inlineStr">
        <is>
          <t>办公</t>
        </is>
      </c>
      <c r="D162" s="3" t="n">
        <v>8784.48</v>
      </c>
      <c r="E162" s="2" t="inlineStr">
        <is>
          <t>赵磊</t>
        </is>
      </c>
    </row>
    <row r="163">
      <c r="A163" s="6" t="n">
        <v>46178</v>
      </c>
      <c r="B163" s="2" t="inlineStr">
        <is>
          <t>销售部</t>
        </is>
      </c>
      <c r="C163" s="2" t="inlineStr">
        <is>
          <t>差旅</t>
        </is>
      </c>
      <c r="D163" s="3" t="n">
        <v>943.53</v>
      </c>
      <c r="E163" s="2" t="inlineStr">
        <is>
          <t>李强</t>
        </is>
      </c>
    </row>
    <row r="164">
      <c r="A164" s="6" t="n">
        <v>46123</v>
      </c>
      <c r="B164" s="2" t="inlineStr">
        <is>
          <t>行政部</t>
        </is>
      </c>
      <c r="C164" s="2" t="inlineStr">
        <is>
          <t>软件</t>
        </is>
      </c>
      <c r="D164" s="3" t="n">
        <v>2881.26</v>
      </c>
      <c r="E164" s="2" t="inlineStr">
        <is>
          <t>王敏</t>
        </is>
      </c>
    </row>
    <row r="165">
      <c r="A165" s="6" t="n">
        <v>46070</v>
      </c>
      <c r="B165" s="2" t="inlineStr">
        <is>
          <t>财务部</t>
        </is>
      </c>
      <c r="C165" s="2" t="inlineStr">
        <is>
          <t>招待</t>
        </is>
      </c>
      <c r="D165" s="3" t="n">
        <v>10936.25</v>
      </c>
      <c r="E165" s="2" t="inlineStr">
        <is>
          <t>王敏</t>
        </is>
      </c>
    </row>
    <row r="166">
      <c r="A166" s="6" t="n">
        <v>46047</v>
      </c>
      <c r="B166" s="2" t="inlineStr">
        <is>
          <t>研发部</t>
        </is>
      </c>
      <c r="C166" s="2" t="inlineStr">
        <is>
          <t>招待</t>
        </is>
      </c>
      <c r="D166" s="3" t="n">
        <v>6207.07</v>
      </c>
      <c r="E166" s="2" t="inlineStr">
        <is>
          <t>孙悦</t>
        </is>
      </c>
    </row>
    <row r="167">
      <c r="A167" s="6" t="n">
        <v>46035</v>
      </c>
      <c r="B167" s="2" t="inlineStr">
        <is>
          <t>销售部</t>
        </is>
      </c>
      <c r="C167" s="2" t="inlineStr">
        <is>
          <t>差旅</t>
        </is>
      </c>
      <c r="D167" s="3" t="n">
        <v>6355.56</v>
      </c>
      <c r="E167" s="2" t="inlineStr">
        <is>
          <t>李强</t>
        </is>
      </c>
    </row>
    <row r="168">
      <c r="A168" s="6" t="n">
        <v>46180</v>
      </c>
      <c r="B168" s="2" t="inlineStr">
        <is>
          <t>行政部</t>
        </is>
      </c>
      <c r="C168" s="2" t="inlineStr">
        <is>
          <t>差旅</t>
        </is>
      </c>
      <c r="D168" s="3" t="n">
        <v>3597.97</v>
      </c>
      <c r="E168" s="2" t="inlineStr">
        <is>
          <t>陈静</t>
        </is>
      </c>
    </row>
    <row r="169">
      <c r="A169" s="6" t="n">
        <v>46030</v>
      </c>
      <c r="B169" s="2" t="inlineStr">
        <is>
          <t>行政部</t>
        </is>
      </c>
      <c r="C169" s="2" t="inlineStr">
        <is>
          <t>软件</t>
        </is>
      </c>
      <c r="D169" s="3" t="n">
        <v>6575.14</v>
      </c>
      <c r="E169" s="2" t="inlineStr">
        <is>
          <t>陈静</t>
        </is>
      </c>
    </row>
    <row r="170">
      <c r="A170" s="6" t="n">
        <v>46168</v>
      </c>
      <c r="B170" s="2" t="inlineStr">
        <is>
          <t>研发部</t>
        </is>
      </c>
      <c r="C170" s="2" t="inlineStr">
        <is>
          <t>差旅</t>
        </is>
      </c>
      <c r="D170" s="3" t="n">
        <v>10428.77</v>
      </c>
      <c r="E170" s="2" t="inlineStr">
        <is>
          <t>李强</t>
        </is>
      </c>
    </row>
    <row r="171">
      <c r="A171" s="6" t="n">
        <v>46170</v>
      </c>
      <c r="B171" s="2" t="inlineStr">
        <is>
          <t>市场部</t>
        </is>
      </c>
      <c r="C171" s="2" t="inlineStr">
        <is>
          <t>办公</t>
        </is>
      </c>
      <c r="D171" s="3" t="n">
        <v>8776.27</v>
      </c>
      <c r="E171" s="2" t="inlineStr">
        <is>
          <t>赵磊</t>
        </is>
      </c>
    </row>
    <row r="172">
      <c r="A172" s="6" t="n">
        <v>46066</v>
      </c>
      <c r="B172" s="2" t="inlineStr">
        <is>
          <t>行政部</t>
        </is>
      </c>
      <c r="C172" s="2" t="inlineStr">
        <is>
          <t>培训</t>
        </is>
      </c>
      <c r="D172" s="3" t="n">
        <v>6723.57</v>
      </c>
      <c r="E172" s="2" t="inlineStr">
        <is>
          <t>王敏</t>
        </is>
      </c>
    </row>
    <row r="173">
      <c r="A173" s="6" t="n">
        <v>46194</v>
      </c>
      <c r="B173" s="2" t="inlineStr">
        <is>
          <t>行政部</t>
        </is>
      </c>
      <c r="C173" s="2" t="inlineStr">
        <is>
          <t>招待</t>
        </is>
      </c>
      <c r="D173" s="3" t="n">
        <v>3650.26</v>
      </c>
      <c r="E173" s="2" t="inlineStr">
        <is>
          <t>孙悦</t>
        </is>
      </c>
    </row>
    <row r="174">
      <c r="A174" s="6" t="n">
        <v>46048</v>
      </c>
      <c r="B174" s="2" t="inlineStr">
        <is>
          <t>研发部</t>
        </is>
      </c>
      <c r="C174" s="2" t="inlineStr">
        <is>
          <t>办公</t>
        </is>
      </c>
      <c r="D174" s="3" t="n">
        <v>6646.5</v>
      </c>
      <c r="E174" s="2" t="inlineStr">
        <is>
          <t>赵磊</t>
        </is>
      </c>
    </row>
    <row r="175">
      <c r="A175" s="6" t="n">
        <v>46195</v>
      </c>
      <c r="B175" s="2" t="inlineStr">
        <is>
          <t>市场部</t>
        </is>
      </c>
      <c r="C175" s="2" t="inlineStr">
        <is>
          <t>差旅</t>
        </is>
      </c>
      <c r="D175" s="3" t="n">
        <v>9767.450000000001</v>
      </c>
      <c r="E175" s="2" t="inlineStr">
        <is>
          <t>孙悦</t>
        </is>
      </c>
    </row>
    <row r="176">
      <c r="A176" s="6" t="n">
        <v>46190</v>
      </c>
      <c r="B176" s="2" t="inlineStr">
        <is>
          <t>市场部</t>
        </is>
      </c>
      <c r="C176" s="2" t="inlineStr">
        <is>
          <t>招待</t>
        </is>
      </c>
      <c r="D176" s="3" t="n">
        <v>7379</v>
      </c>
      <c r="E176" s="2" t="inlineStr">
        <is>
          <t>孙悦</t>
        </is>
      </c>
    </row>
    <row r="177">
      <c r="A177" s="6" t="n">
        <v>46042</v>
      </c>
      <c r="B177" s="2" t="inlineStr">
        <is>
          <t>研发部</t>
        </is>
      </c>
      <c r="C177" s="2" t="inlineStr">
        <is>
          <t>招待</t>
        </is>
      </c>
      <c r="D177" s="3" t="n">
        <v>9828.959999999999</v>
      </c>
      <c r="E177" s="2" t="inlineStr">
        <is>
          <t>赵磊</t>
        </is>
      </c>
    </row>
    <row r="178">
      <c r="A178" s="6" t="n">
        <v>46087</v>
      </c>
      <c r="B178" s="2" t="inlineStr">
        <is>
          <t>财务部</t>
        </is>
      </c>
      <c r="C178" s="2" t="inlineStr">
        <is>
          <t>差旅</t>
        </is>
      </c>
      <c r="D178" s="3" t="n">
        <v>6020.88</v>
      </c>
      <c r="E178" s="2" t="inlineStr">
        <is>
          <t>赵磊</t>
        </is>
      </c>
    </row>
    <row r="179">
      <c r="A179" s="6" t="n">
        <v>46061</v>
      </c>
      <c r="B179" s="2" t="inlineStr">
        <is>
          <t>财务部</t>
        </is>
      </c>
      <c r="C179" s="2" t="inlineStr">
        <is>
          <t>差旅</t>
        </is>
      </c>
      <c r="D179" s="3" t="n">
        <v>6572.22</v>
      </c>
      <c r="E179" s="2" t="inlineStr">
        <is>
          <t>陈静</t>
        </is>
      </c>
    </row>
    <row r="180">
      <c r="A180" s="6" t="n">
        <v>46091</v>
      </c>
      <c r="B180" s="2" t="inlineStr">
        <is>
          <t>销售部</t>
        </is>
      </c>
      <c r="C180" s="2" t="inlineStr">
        <is>
          <t>办公</t>
        </is>
      </c>
      <c r="D180" s="3" t="n">
        <v>7602.4</v>
      </c>
      <c r="E180" s="2" t="inlineStr">
        <is>
          <t>陈静</t>
        </is>
      </c>
    </row>
    <row r="181">
      <c r="A181" s="6" t="n">
        <v>46031</v>
      </c>
      <c r="B181" s="2" t="inlineStr">
        <is>
          <t>财务部</t>
        </is>
      </c>
      <c r="C181" s="2" t="inlineStr">
        <is>
          <t>软件</t>
        </is>
      </c>
      <c r="D181" s="3" t="n">
        <v>7605.01</v>
      </c>
      <c r="E181" s="2" t="inlineStr">
        <is>
          <t>李强</t>
        </is>
      </c>
    </row>
    <row r="182">
      <c r="A182" s="6" t="n">
        <v>46160</v>
      </c>
      <c r="B182" s="2" t="inlineStr">
        <is>
          <t>市场部</t>
        </is>
      </c>
      <c r="C182" s="2" t="inlineStr">
        <is>
          <t>软件</t>
        </is>
      </c>
      <c r="D182" s="3" t="n">
        <v>5192.63</v>
      </c>
      <c r="E182" s="2" t="inlineStr">
        <is>
          <t>王敏</t>
        </is>
      </c>
    </row>
    <row r="183">
      <c r="A183" s="6" t="n">
        <v>46028</v>
      </c>
      <c r="B183" s="2" t="inlineStr">
        <is>
          <t>研发部</t>
        </is>
      </c>
      <c r="C183" s="2" t="inlineStr">
        <is>
          <t>办公</t>
        </is>
      </c>
      <c r="D183" s="3" t="n">
        <v>8536.030000000001</v>
      </c>
      <c r="E183" s="2" t="inlineStr">
        <is>
          <t>陈静</t>
        </is>
      </c>
    </row>
    <row r="184">
      <c r="A184" s="6" t="n">
        <v>46088</v>
      </c>
      <c r="B184" s="2" t="inlineStr">
        <is>
          <t>研发部</t>
        </is>
      </c>
      <c r="C184" s="2" t="inlineStr">
        <is>
          <t>办公</t>
        </is>
      </c>
      <c r="D184" s="3" t="n">
        <v>2817.53</v>
      </c>
      <c r="E184" s="2" t="inlineStr">
        <is>
          <t>陈静</t>
        </is>
      </c>
    </row>
    <row r="185">
      <c r="A185" s="6" t="n">
        <v>46166</v>
      </c>
      <c r="B185" s="2" t="inlineStr">
        <is>
          <t>销售部</t>
        </is>
      </c>
      <c r="C185" s="2" t="inlineStr">
        <is>
          <t>办公</t>
        </is>
      </c>
      <c r="D185" s="3" t="n">
        <v>6949.82</v>
      </c>
      <c r="E185" s="2" t="inlineStr">
        <is>
          <t>李强</t>
        </is>
      </c>
    </row>
    <row r="186">
      <c r="A186" s="6" t="n">
        <v>46181</v>
      </c>
      <c r="B186" s="2" t="inlineStr">
        <is>
          <t>行政部</t>
        </is>
      </c>
      <c r="C186" s="2" t="inlineStr">
        <is>
          <t>软件</t>
        </is>
      </c>
      <c r="D186" s="3" t="n">
        <v>2388.98</v>
      </c>
      <c r="E186" s="2" t="inlineStr">
        <is>
          <t>王敏</t>
        </is>
      </c>
    </row>
    <row r="187">
      <c r="A187" s="6" t="n">
        <v>46200</v>
      </c>
      <c r="B187" s="2" t="inlineStr">
        <is>
          <t>研发部</t>
        </is>
      </c>
      <c r="C187" s="2" t="inlineStr">
        <is>
          <t>软件</t>
        </is>
      </c>
      <c r="D187" s="3" t="n">
        <v>10246.96</v>
      </c>
      <c r="E187" s="2" t="inlineStr">
        <is>
          <t>赵磊</t>
        </is>
      </c>
    </row>
    <row r="188">
      <c r="A188" s="6" t="n">
        <v>46200</v>
      </c>
      <c r="B188" s="2" t="inlineStr">
        <is>
          <t>财务部</t>
        </is>
      </c>
      <c r="C188" s="2" t="inlineStr">
        <is>
          <t>办公</t>
        </is>
      </c>
      <c r="D188" s="3" t="n">
        <v>10968.06</v>
      </c>
      <c r="E188" s="2" t="inlineStr">
        <is>
          <t>陈静</t>
        </is>
      </c>
    </row>
    <row r="189">
      <c r="A189" s="6" t="n">
        <v>46100</v>
      </c>
      <c r="B189" s="2" t="inlineStr">
        <is>
          <t>销售部</t>
        </is>
      </c>
      <c r="C189" s="2" t="inlineStr">
        <is>
          <t>办公</t>
        </is>
      </c>
      <c r="D189" s="3" t="n">
        <v>4510.21</v>
      </c>
      <c r="E189" s="2" t="inlineStr">
        <is>
          <t>孙悦</t>
        </is>
      </c>
    </row>
    <row r="190">
      <c r="A190" s="6" t="n">
        <v>46163</v>
      </c>
      <c r="B190" s="2" t="inlineStr">
        <is>
          <t>财务部</t>
        </is>
      </c>
      <c r="C190" s="2" t="inlineStr">
        <is>
          <t>软件</t>
        </is>
      </c>
      <c r="D190" s="3" t="n">
        <v>3814.49</v>
      </c>
      <c r="E190" s="2" t="inlineStr">
        <is>
          <t>李强</t>
        </is>
      </c>
    </row>
    <row r="191">
      <c r="A191" s="6" t="n">
        <v>46133</v>
      </c>
      <c r="B191" s="2" t="inlineStr">
        <is>
          <t>销售部</t>
        </is>
      </c>
      <c r="C191" s="2" t="inlineStr">
        <is>
          <t>培训</t>
        </is>
      </c>
      <c r="D191" s="3" t="n">
        <v>8751.540000000001</v>
      </c>
      <c r="E191" s="2" t="inlineStr">
        <is>
          <t>陈静</t>
        </is>
      </c>
    </row>
    <row r="192">
      <c r="A192" s="6" t="n">
        <v>46084</v>
      </c>
      <c r="B192" s="2" t="inlineStr">
        <is>
          <t>财务部</t>
        </is>
      </c>
      <c r="C192" s="2" t="inlineStr">
        <is>
          <t>差旅</t>
        </is>
      </c>
      <c r="D192" s="3" t="n">
        <v>10778.18</v>
      </c>
      <c r="E192" s="2" t="inlineStr">
        <is>
          <t>王敏</t>
        </is>
      </c>
    </row>
    <row r="193">
      <c r="A193" s="6" t="n">
        <v>46199</v>
      </c>
      <c r="B193" s="2" t="inlineStr">
        <is>
          <t>销售部</t>
        </is>
      </c>
      <c r="C193" s="2" t="inlineStr">
        <is>
          <t>培训</t>
        </is>
      </c>
      <c r="D193" s="3" t="n">
        <v>7010.49</v>
      </c>
      <c r="E193" s="2" t="inlineStr">
        <is>
          <t>李强</t>
        </is>
      </c>
    </row>
    <row r="194">
      <c r="A194" s="6" t="n">
        <v>46177</v>
      </c>
      <c r="B194" s="2" t="inlineStr">
        <is>
          <t>财务部</t>
        </is>
      </c>
      <c r="C194" s="2" t="inlineStr">
        <is>
          <t>软件</t>
        </is>
      </c>
      <c r="D194" s="3" t="n">
        <v>4145.65</v>
      </c>
      <c r="E194" s="2" t="inlineStr">
        <is>
          <t>王敏</t>
        </is>
      </c>
    </row>
    <row r="195">
      <c r="A195" s="6" t="n">
        <v>46167</v>
      </c>
      <c r="B195" s="2" t="inlineStr">
        <is>
          <t>财务部</t>
        </is>
      </c>
      <c r="C195" s="2" t="inlineStr">
        <is>
          <t>软件</t>
        </is>
      </c>
      <c r="D195" s="3" t="n">
        <v>4703.71</v>
      </c>
      <c r="E195" s="2" t="inlineStr">
        <is>
          <t>孙悦</t>
        </is>
      </c>
    </row>
    <row r="196">
      <c r="A196" s="6" t="n">
        <v>46186</v>
      </c>
      <c r="B196" s="2" t="inlineStr">
        <is>
          <t>研发部</t>
        </is>
      </c>
      <c r="C196" s="2" t="inlineStr">
        <is>
          <t>软件</t>
        </is>
      </c>
      <c r="D196" s="3" t="n">
        <v>11963.07</v>
      </c>
      <c r="E196" s="2" t="inlineStr">
        <is>
          <t>王敏</t>
        </is>
      </c>
    </row>
    <row r="197">
      <c r="A197" s="6" t="n">
        <v>46175</v>
      </c>
      <c r="B197" s="2" t="inlineStr">
        <is>
          <t>研发部</t>
        </is>
      </c>
      <c r="C197" s="2" t="inlineStr">
        <is>
          <t>差旅</t>
        </is>
      </c>
      <c r="D197" s="3" t="n">
        <v>5791.27</v>
      </c>
      <c r="E197" s="2" t="inlineStr">
        <is>
          <t>孙悦</t>
        </is>
      </c>
    </row>
    <row r="198">
      <c r="A198" s="6" t="n">
        <v>46092</v>
      </c>
      <c r="B198" s="2" t="inlineStr">
        <is>
          <t>研发部</t>
        </is>
      </c>
      <c r="C198" s="2" t="inlineStr">
        <is>
          <t>招待</t>
        </is>
      </c>
      <c r="D198" s="3" t="n">
        <v>4494.97</v>
      </c>
      <c r="E198" s="2" t="inlineStr">
        <is>
          <t>孙悦</t>
        </is>
      </c>
    </row>
    <row r="199">
      <c r="A199" s="6" t="n">
        <v>46068</v>
      </c>
      <c r="B199" s="2" t="inlineStr">
        <is>
          <t>研发部</t>
        </is>
      </c>
      <c r="C199" s="2" t="inlineStr">
        <is>
          <t>招待</t>
        </is>
      </c>
      <c r="D199" s="3" t="n">
        <v>1732.6</v>
      </c>
      <c r="E199" s="2" t="inlineStr">
        <is>
          <t>陈静</t>
        </is>
      </c>
    </row>
    <row r="200">
      <c r="A200" s="6" t="n">
        <v>46023</v>
      </c>
      <c r="B200" s="2" t="inlineStr">
        <is>
          <t>研发部</t>
        </is>
      </c>
      <c r="C200" s="2" t="inlineStr">
        <is>
          <t>差旅</t>
        </is>
      </c>
      <c r="D200" s="3" t="n">
        <v>6784.29</v>
      </c>
      <c r="E200" s="2" t="inlineStr">
        <is>
          <t>陈静</t>
        </is>
      </c>
    </row>
    <row r="201">
      <c r="A201" s="6" t="n">
        <v>46024</v>
      </c>
      <c r="B201" s="2" t="inlineStr">
        <is>
          <t>研发部</t>
        </is>
      </c>
      <c r="C201" s="2" t="inlineStr">
        <is>
          <t>软件</t>
        </is>
      </c>
      <c r="D201" s="3" t="n">
        <v>8449.690000000001</v>
      </c>
      <c r="E201" s="2" t="inlineStr">
        <is>
          <t>赵磊</t>
        </is>
      </c>
    </row>
    <row r="202">
      <c r="A202" s="6" t="n">
        <v>46079</v>
      </c>
      <c r="B202" s="2" t="inlineStr">
        <is>
          <t>市场部</t>
        </is>
      </c>
      <c r="C202" s="2" t="inlineStr">
        <is>
          <t>软件</t>
        </is>
      </c>
      <c r="D202" s="3" t="n">
        <v>3512.81</v>
      </c>
      <c r="E202" s="2" t="inlineStr">
        <is>
          <t>王敏</t>
        </is>
      </c>
    </row>
    <row r="203">
      <c r="A203" s="6" t="n">
        <v>46187</v>
      </c>
      <c r="B203" s="2" t="inlineStr">
        <is>
          <t>销售部</t>
        </is>
      </c>
      <c r="C203" s="2" t="inlineStr">
        <is>
          <t>培训</t>
        </is>
      </c>
      <c r="D203" s="3" t="n">
        <v>9303.629999999999</v>
      </c>
      <c r="E203" s="2" t="inlineStr">
        <is>
          <t>王敏</t>
        </is>
      </c>
    </row>
    <row r="204">
      <c r="A204" s="6" t="n">
        <v>46025</v>
      </c>
      <c r="B204" s="2" t="inlineStr">
        <is>
          <t>销售部</t>
        </is>
      </c>
      <c r="C204" s="2" t="inlineStr">
        <is>
          <t>培训</t>
        </is>
      </c>
      <c r="D204" s="3" t="n">
        <v>9540.389999999999</v>
      </c>
      <c r="E204" s="2" t="inlineStr">
        <is>
          <t>李强</t>
        </is>
      </c>
    </row>
    <row r="205">
      <c r="A205" s="6" t="n">
        <v>46159</v>
      </c>
      <c r="B205" s="2" t="inlineStr">
        <is>
          <t>销售部</t>
        </is>
      </c>
      <c r="C205" s="2" t="inlineStr">
        <is>
          <t>培训</t>
        </is>
      </c>
      <c r="D205" s="3" t="n">
        <v>6358.7</v>
      </c>
      <c r="E205" s="2" t="inlineStr">
        <is>
          <t>赵磊</t>
        </is>
      </c>
    </row>
    <row r="206">
      <c r="A206" s="6" t="n">
        <v>46153</v>
      </c>
      <c r="B206" s="2" t="inlineStr">
        <is>
          <t>行政部</t>
        </is>
      </c>
      <c r="C206" s="2" t="inlineStr">
        <is>
          <t>招待</t>
        </is>
      </c>
      <c r="D206" s="3" t="n">
        <v>7995.35</v>
      </c>
      <c r="E206" s="2" t="inlineStr">
        <is>
          <t>孙悦</t>
        </is>
      </c>
    </row>
    <row r="207">
      <c r="A207" s="6" t="n">
        <v>46068</v>
      </c>
      <c r="B207" s="2" t="inlineStr">
        <is>
          <t>财务部</t>
        </is>
      </c>
      <c r="C207" s="2" t="inlineStr">
        <is>
          <t>办公</t>
        </is>
      </c>
      <c r="D207" s="3" t="n">
        <v>9161.799999999999</v>
      </c>
      <c r="E207" s="2" t="inlineStr">
        <is>
          <t>陈静</t>
        </is>
      </c>
    </row>
    <row r="208">
      <c r="A208" s="6" t="n">
        <v>46087</v>
      </c>
      <c r="B208" s="2" t="inlineStr">
        <is>
          <t>财务部</t>
        </is>
      </c>
      <c r="C208" s="2" t="inlineStr">
        <is>
          <t>软件</t>
        </is>
      </c>
      <c r="D208" s="3" t="n">
        <v>10146.06</v>
      </c>
      <c r="E208" s="2" t="inlineStr">
        <is>
          <t>赵磊</t>
        </is>
      </c>
    </row>
    <row r="209">
      <c r="A209" s="6" t="n">
        <v>46134</v>
      </c>
      <c r="B209" s="2" t="inlineStr">
        <is>
          <t>市场部</t>
        </is>
      </c>
      <c r="C209" s="2" t="inlineStr">
        <is>
          <t>培训</t>
        </is>
      </c>
      <c r="D209" s="3" t="n">
        <v>10096.46</v>
      </c>
      <c r="E209" s="2" t="inlineStr">
        <is>
          <t>王敏</t>
        </is>
      </c>
    </row>
    <row r="210">
      <c r="A210" s="6" t="n">
        <v>46181</v>
      </c>
      <c r="B210" s="2" t="inlineStr">
        <is>
          <t>研发部</t>
        </is>
      </c>
      <c r="C210" s="2" t="inlineStr">
        <is>
          <t>培训</t>
        </is>
      </c>
      <c r="D210" s="3" t="n">
        <v>1388.57</v>
      </c>
      <c r="E210" s="2" t="inlineStr">
        <is>
          <t>李强</t>
        </is>
      </c>
    </row>
    <row r="211">
      <c r="A211" s="6" t="n">
        <v>46120</v>
      </c>
      <c r="B211" s="2" t="inlineStr">
        <is>
          <t>财务部</t>
        </is>
      </c>
      <c r="C211" s="2" t="inlineStr">
        <is>
          <t>招待</t>
        </is>
      </c>
      <c r="D211" s="3" t="n">
        <v>1390.31</v>
      </c>
      <c r="E211" s="2" t="inlineStr">
        <is>
          <t>赵磊</t>
        </is>
      </c>
    </row>
    <row r="212">
      <c r="A212" s="6" t="n">
        <v>46088</v>
      </c>
      <c r="B212" s="2" t="inlineStr">
        <is>
          <t>财务部</t>
        </is>
      </c>
      <c r="C212" s="2" t="inlineStr">
        <is>
          <t>差旅</t>
        </is>
      </c>
      <c r="D212" s="3" t="n">
        <v>6044.52</v>
      </c>
      <c r="E212" s="2" t="inlineStr">
        <is>
          <t>李强</t>
        </is>
      </c>
    </row>
    <row r="213">
      <c r="A213" s="6" t="n">
        <v>46095</v>
      </c>
      <c r="B213" s="2" t="inlineStr">
        <is>
          <t>研发部</t>
        </is>
      </c>
      <c r="C213" s="2" t="inlineStr">
        <is>
          <t>差旅</t>
        </is>
      </c>
      <c r="D213" s="3" t="n">
        <v>4669.41</v>
      </c>
      <c r="E213" s="2" t="inlineStr">
        <is>
          <t>王敏</t>
        </is>
      </c>
    </row>
    <row r="214">
      <c r="A214" s="6" t="n">
        <v>46137</v>
      </c>
      <c r="B214" s="2" t="inlineStr">
        <is>
          <t>研发部</t>
        </is>
      </c>
      <c r="C214" s="2" t="inlineStr">
        <is>
          <t>差旅</t>
        </is>
      </c>
      <c r="D214" s="3" t="n">
        <v>5034.42</v>
      </c>
      <c r="E214" s="2" t="inlineStr">
        <is>
          <t>李强</t>
        </is>
      </c>
    </row>
    <row r="215">
      <c r="A215" s="6" t="n">
        <v>46192</v>
      </c>
      <c r="B215" s="2" t="inlineStr">
        <is>
          <t>行政部</t>
        </is>
      </c>
      <c r="C215" s="2" t="inlineStr">
        <is>
          <t>招待</t>
        </is>
      </c>
      <c r="D215" s="3" t="n">
        <v>11651.52</v>
      </c>
      <c r="E215" s="2" t="inlineStr">
        <is>
          <t>李强</t>
        </is>
      </c>
    </row>
    <row r="216">
      <c r="A216" s="6" t="n">
        <v>46121</v>
      </c>
      <c r="B216" s="2" t="inlineStr">
        <is>
          <t>财务部</t>
        </is>
      </c>
      <c r="C216" s="2" t="inlineStr">
        <is>
          <t>差旅</t>
        </is>
      </c>
      <c r="D216" s="3" t="n">
        <v>7052.45</v>
      </c>
      <c r="E216" s="2" t="inlineStr">
        <is>
          <t>李强</t>
        </is>
      </c>
    </row>
    <row r="217">
      <c r="A217" s="6" t="n">
        <v>46168</v>
      </c>
      <c r="B217" s="2" t="inlineStr">
        <is>
          <t>财务部</t>
        </is>
      </c>
      <c r="C217" s="2" t="inlineStr">
        <is>
          <t>招待</t>
        </is>
      </c>
      <c r="D217" s="3" t="n">
        <v>5967.69</v>
      </c>
      <c r="E217" s="2" t="inlineStr">
        <is>
          <t>赵磊</t>
        </is>
      </c>
    </row>
    <row r="218">
      <c r="A218" s="6" t="n">
        <v>46176</v>
      </c>
      <c r="B218" s="2" t="inlineStr">
        <is>
          <t>财务部</t>
        </is>
      </c>
      <c r="C218" s="2" t="inlineStr">
        <is>
          <t>招待</t>
        </is>
      </c>
      <c r="D218" s="3" t="n">
        <v>10540.85</v>
      </c>
      <c r="E218" s="2" t="inlineStr">
        <is>
          <t>王敏</t>
        </is>
      </c>
    </row>
    <row r="219">
      <c r="A219" s="6" t="n">
        <v>46045</v>
      </c>
      <c r="B219" s="2" t="inlineStr">
        <is>
          <t>研发部</t>
        </is>
      </c>
      <c r="C219" s="2" t="inlineStr">
        <is>
          <t>软件</t>
        </is>
      </c>
      <c r="D219" s="3" t="n">
        <v>10563.62</v>
      </c>
      <c r="E219" s="2" t="inlineStr">
        <is>
          <t>赵磊</t>
        </is>
      </c>
    </row>
    <row r="220">
      <c r="A220" s="6" t="n">
        <v>46065</v>
      </c>
      <c r="B220" s="2" t="inlineStr">
        <is>
          <t>行政部</t>
        </is>
      </c>
      <c r="C220" s="2" t="inlineStr">
        <is>
          <t>招待</t>
        </is>
      </c>
      <c r="D220" s="3" t="n">
        <v>6789.9</v>
      </c>
      <c r="E220" s="2" t="inlineStr">
        <is>
          <t>王敏</t>
        </is>
      </c>
    </row>
    <row r="221">
      <c r="A221" s="6" t="n">
        <v>46126</v>
      </c>
      <c r="B221" s="2" t="inlineStr">
        <is>
          <t>财务部</t>
        </is>
      </c>
      <c r="C221" s="2" t="inlineStr">
        <is>
          <t>软件</t>
        </is>
      </c>
      <c r="D221" s="3" t="n">
        <v>3343.17</v>
      </c>
      <c r="E221" s="2" t="inlineStr">
        <is>
          <t>李强</t>
        </is>
      </c>
    </row>
    <row r="222">
      <c r="A222" s="6" t="n">
        <v>46038</v>
      </c>
      <c r="B222" s="2" t="inlineStr">
        <is>
          <t>市场部</t>
        </is>
      </c>
      <c r="C222" s="2" t="inlineStr">
        <is>
          <t>办公</t>
        </is>
      </c>
      <c r="D222" s="3" t="n">
        <v>1979.29</v>
      </c>
      <c r="E222" s="2" t="inlineStr">
        <is>
          <t>孙悦</t>
        </is>
      </c>
    </row>
    <row r="223">
      <c r="A223" s="6" t="n">
        <v>46126</v>
      </c>
      <c r="B223" s="2" t="inlineStr">
        <is>
          <t>销售部</t>
        </is>
      </c>
      <c r="C223" s="2" t="inlineStr">
        <is>
          <t>招待</t>
        </is>
      </c>
      <c r="D223" s="3" t="n">
        <v>272.74</v>
      </c>
      <c r="E223" s="2" t="inlineStr">
        <is>
          <t>赵磊</t>
        </is>
      </c>
    </row>
    <row r="224">
      <c r="A224" s="6" t="n">
        <v>46128</v>
      </c>
      <c r="B224" s="2" t="inlineStr">
        <is>
          <t>行政部</t>
        </is>
      </c>
      <c r="C224" s="2" t="inlineStr">
        <is>
          <t>办公</t>
        </is>
      </c>
      <c r="D224" s="3" t="n">
        <v>3083.45</v>
      </c>
      <c r="E224" s="2" t="inlineStr">
        <is>
          <t>李强</t>
        </is>
      </c>
    </row>
    <row r="225">
      <c r="A225" s="6" t="n">
        <v>46067</v>
      </c>
      <c r="B225" s="2" t="inlineStr">
        <is>
          <t>财务部</t>
        </is>
      </c>
      <c r="C225" s="2" t="inlineStr">
        <is>
          <t>培训</t>
        </is>
      </c>
      <c r="D225" s="3" t="n">
        <v>6628.16</v>
      </c>
      <c r="E225" s="2" t="inlineStr">
        <is>
          <t>赵磊</t>
        </is>
      </c>
    </row>
    <row r="226">
      <c r="A226" s="6" t="n">
        <v>46160</v>
      </c>
      <c r="B226" s="2" t="inlineStr">
        <is>
          <t>研发部</t>
        </is>
      </c>
      <c r="C226" s="2" t="inlineStr">
        <is>
          <t>软件</t>
        </is>
      </c>
      <c r="D226" s="3" t="n">
        <v>11858.78</v>
      </c>
      <c r="E226" s="2" t="inlineStr">
        <is>
          <t>李强</t>
        </is>
      </c>
    </row>
    <row r="227">
      <c r="A227" s="6" t="n">
        <v>46097</v>
      </c>
      <c r="B227" s="2" t="inlineStr">
        <is>
          <t>行政部</t>
        </is>
      </c>
      <c r="C227" s="2" t="inlineStr">
        <is>
          <t>软件</t>
        </is>
      </c>
      <c r="D227" s="3" t="n">
        <v>7611.28</v>
      </c>
      <c r="E227" s="2" t="inlineStr">
        <is>
          <t>赵磊</t>
        </is>
      </c>
    </row>
    <row r="228">
      <c r="A228" s="6" t="n">
        <v>46117</v>
      </c>
      <c r="B228" s="2" t="inlineStr">
        <is>
          <t>研发部</t>
        </is>
      </c>
      <c r="C228" s="2" t="inlineStr">
        <is>
          <t>培训</t>
        </is>
      </c>
      <c r="D228" s="3" t="n">
        <v>9394.43</v>
      </c>
      <c r="E228" s="2" t="inlineStr">
        <is>
          <t>王敏</t>
        </is>
      </c>
    </row>
    <row r="229">
      <c r="A229" s="6" t="n">
        <v>46149</v>
      </c>
      <c r="B229" s="2" t="inlineStr">
        <is>
          <t>研发部</t>
        </is>
      </c>
      <c r="C229" s="2" t="inlineStr">
        <is>
          <t>办公</t>
        </is>
      </c>
      <c r="D229" s="3" t="n">
        <v>1873.56</v>
      </c>
      <c r="E229" s="2" t="inlineStr">
        <is>
          <t>陈静</t>
        </is>
      </c>
    </row>
    <row r="230">
      <c r="A230" s="6" t="n">
        <v>46036</v>
      </c>
      <c r="B230" s="2" t="inlineStr">
        <is>
          <t>研发部</t>
        </is>
      </c>
      <c r="C230" s="2" t="inlineStr">
        <is>
          <t>差旅</t>
        </is>
      </c>
      <c r="D230" s="3" t="n">
        <v>9743.84</v>
      </c>
      <c r="E230" s="2" t="inlineStr">
        <is>
          <t>李强</t>
        </is>
      </c>
    </row>
    <row r="231">
      <c r="A231" s="6" t="n">
        <v>46081</v>
      </c>
      <c r="B231" s="2" t="inlineStr">
        <is>
          <t>市场部</t>
        </is>
      </c>
      <c r="C231" s="2" t="inlineStr">
        <is>
          <t>招待</t>
        </is>
      </c>
      <c r="D231" s="3" t="n">
        <v>1368.01</v>
      </c>
      <c r="E231" s="2" t="inlineStr">
        <is>
          <t>陈静</t>
        </is>
      </c>
    </row>
    <row r="232">
      <c r="A232" s="6" t="n">
        <v>46138</v>
      </c>
      <c r="B232" s="2" t="inlineStr">
        <is>
          <t>销售部</t>
        </is>
      </c>
      <c r="C232" s="2" t="inlineStr">
        <is>
          <t>培训</t>
        </is>
      </c>
      <c r="D232" s="3" t="n">
        <v>6202.52</v>
      </c>
      <c r="E232" s="2" t="inlineStr">
        <is>
          <t>孙悦</t>
        </is>
      </c>
    </row>
    <row r="233">
      <c r="A233" s="6" t="n">
        <v>46097</v>
      </c>
      <c r="B233" s="2" t="inlineStr">
        <is>
          <t>研发部</t>
        </is>
      </c>
      <c r="C233" s="2" t="inlineStr">
        <is>
          <t>差旅</t>
        </is>
      </c>
      <c r="D233" s="3" t="n">
        <v>3984.51</v>
      </c>
      <c r="E233" s="2" t="inlineStr">
        <is>
          <t>赵磊</t>
        </is>
      </c>
    </row>
    <row r="234">
      <c r="A234" s="6" t="n">
        <v>46033</v>
      </c>
      <c r="B234" s="2" t="inlineStr">
        <is>
          <t>财务部</t>
        </is>
      </c>
      <c r="C234" s="2" t="inlineStr">
        <is>
          <t>软件</t>
        </is>
      </c>
      <c r="D234" s="3" t="n">
        <v>5972.47</v>
      </c>
      <c r="E234" s="2" t="inlineStr">
        <is>
          <t>李强</t>
        </is>
      </c>
    </row>
    <row r="235">
      <c r="A235" s="6" t="n">
        <v>46070</v>
      </c>
      <c r="B235" s="2" t="inlineStr">
        <is>
          <t>研发部</t>
        </is>
      </c>
      <c r="C235" s="2" t="inlineStr">
        <is>
          <t>招待</t>
        </is>
      </c>
      <c r="D235" s="3" t="n">
        <v>6459.75</v>
      </c>
      <c r="E235" s="2" t="inlineStr">
        <is>
          <t>李强</t>
        </is>
      </c>
    </row>
    <row r="236">
      <c r="A236" s="6" t="n">
        <v>46123</v>
      </c>
      <c r="B236" s="2" t="inlineStr">
        <is>
          <t>财务部</t>
        </is>
      </c>
      <c r="C236" s="2" t="inlineStr">
        <is>
          <t>招待</t>
        </is>
      </c>
      <c r="D236" s="3" t="n">
        <v>4426.74</v>
      </c>
      <c r="E236" s="2" t="inlineStr">
        <is>
          <t>陈静</t>
        </is>
      </c>
    </row>
    <row r="237">
      <c r="A237" s="6" t="n">
        <v>46039</v>
      </c>
      <c r="B237" s="2" t="inlineStr">
        <is>
          <t>财务部</t>
        </is>
      </c>
      <c r="C237" s="2" t="inlineStr">
        <is>
          <t>办公</t>
        </is>
      </c>
      <c r="D237" s="3" t="n">
        <v>6932.48</v>
      </c>
      <c r="E237" s="2" t="inlineStr">
        <is>
          <t>李强</t>
        </is>
      </c>
    </row>
    <row r="238">
      <c r="A238" s="6" t="n">
        <v>46040</v>
      </c>
      <c r="B238" s="2" t="inlineStr">
        <is>
          <t>研发部</t>
        </is>
      </c>
      <c r="C238" s="2" t="inlineStr">
        <is>
          <t>办公</t>
        </is>
      </c>
      <c r="D238" s="3" t="n">
        <v>1180.99</v>
      </c>
      <c r="E238" s="2" t="inlineStr">
        <is>
          <t>孙悦</t>
        </is>
      </c>
    </row>
    <row r="239">
      <c r="A239" s="6" t="n">
        <v>46069</v>
      </c>
      <c r="B239" s="2" t="inlineStr">
        <is>
          <t>研发部</t>
        </is>
      </c>
      <c r="C239" s="2" t="inlineStr">
        <is>
          <t>培训</t>
        </is>
      </c>
      <c r="D239" s="3" t="n">
        <v>4043.66</v>
      </c>
      <c r="E239" s="2" t="inlineStr">
        <is>
          <t>赵磊</t>
        </is>
      </c>
    </row>
    <row r="240">
      <c r="A240" s="6" t="n">
        <v>46151</v>
      </c>
      <c r="B240" s="2" t="inlineStr">
        <is>
          <t>行政部</t>
        </is>
      </c>
      <c r="C240" s="2" t="inlineStr">
        <is>
          <t>招待</t>
        </is>
      </c>
      <c r="D240" s="3" t="n">
        <v>1950.23</v>
      </c>
      <c r="E240" s="2" t="inlineStr">
        <is>
          <t>陈静</t>
        </is>
      </c>
    </row>
    <row r="241">
      <c r="A241" s="6" t="n">
        <v>46054</v>
      </c>
      <c r="B241" s="2" t="inlineStr">
        <is>
          <t>财务部</t>
        </is>
      </c>
      <c r="C241" s="2" t="inlineStr">
        <is>
          <t>软件</t>
        </is>
      </c>
      <c r="D241" s="3" t="n">
        <v>1030.98</v>
      </c>
      <c r="E241" s="2" t="inlineStr">
        <is>
          <t>赵磊</t>
        </is>
      </c>
    </row>
    <row r="242">
      <c r="A242" s="4" t="inlineStr">
        <is>
          <t>合计</t>
        </is>
      </c>
      <c r="D242" s="5" t="n">
        <f>SUM(D2:D241)</f>
        <v>1479113.86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2026-10-25T00:34:00Z</dcterms:created>
  <dcterms:modified xmlns:dcterms="http://purl.org/dc/terms/" xmlns:xsi="http://www.w3.org/2001/XMLSchema-instance" xsi:type="dcterms:W3CDTF">2026-10-25T00:34:00Z</dcterms:modified>
</cp:coreProperties>
</file>